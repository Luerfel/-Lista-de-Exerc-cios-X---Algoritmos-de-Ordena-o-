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b3943081954a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s - Ordenação" sheetId="1" r:id="R7272abf140824816"/>
    <x:sheet xmlns:r="http://schemas.openxmlformats.org/officeDocument/2006/relationships" name="Dados brutos" sheetId="2" r:id="Rdfeb425e0b9a469b"/>
    <x:sheet xmlns:r="http://schemas.openxmlformats.org/officeDocument/2006/relationships" name="Código C++" sheetId="3" r:id="R045c13e4a7174b99"/>
  </x:sheets>
</x:workbook>
</file>

<file path=xl/sharedStrings.xml><?xml version="1.0" encoding="utf-8"?>
<x:sst xmlns:x="http://schemas.openxmlformats.org/spreadsheetml/2006/main">
  <x:si>
    <x:t xml:space="preserve">PONTIFÍCIA UNIVERSIDADE CATÓLICA DE CAMPINAS</x:t>
  </x:si>
  <x:si>
    <x:t xml:space="preserve">Escola Politénica - Engenharia de Software</x:t>
  </x:si>
  <x:si>
    <x:t xml:space="preserve">Fundamentos da Teoria da Computação e Análise de Algoritmos - Professor José Guilherme Picolo</x:t>
  </x:si>
  <x:si>
    <x:t xml:space="preserve">ANÁLISE EXPERIMENTAL DOS ALGORITMOS DE ORDENAÇÃO</x:t>
  </x:si>
  <x:si>
    <x:t xml:space="preserve">1. Identificação e ambiente de execução</x:t>
  </x:si>
  <x:si>
    <x:t xml:space="preserve">Campo</x:t>
  </x:si>
  <x:si>
    <x:t xml:space="preserve">Informação</x:t>
  </x:si>
  <x:si>
    <x:t xml:space="preserve">2. Resultados experimentais</x:t>
  </x:si>
  <x:si>
    <x:t xml:space="preserve">Algoritmo</x:t>
  </x:si>
  <x:si>
    <x:t xml:space="preserve">Complexidade no caso médio</x:t>
  </x:si>
  <x:si>
    <x:t xml:space="preserve">Tamanho do vetor</x:t>
  </x:si>
  <x:si>
    <x:t xml:space="preserve">Execução 1 (s)</x:t>
  </x:si>
  <x:si>
    <x:t xml:space="preserve">Execução 2 (s)</x:t>
  </x:si>
  <x:si>
    <x:t xml:space="preserve">Execução 3 (s)</x:t>
  </x:si>
  <x:si>
    <x:t xml:space="preserve">Tempo médio (s)</x:t>
  </x:si>
  <x:si>
    <x:t xml:space="preserve">Desvio padrão (s)</x:t>
  </x:si>
  <x:si>
    <x:t xml:space="preserve">Trocas ou movimentações</x:t>
  </x:si>
  <x:si>
    <x:t xml:space="preserve">3. Gráfico comparativo</x:t>
  </x:si>
  <x:si>
    <x:t xml:space="preserve">4. Análise dos resultados</x:t>
  </x:si>
  <x:si>
    <x:t xml:space="preserve">Pergunta</x:t>
  </x:si>
  <x:si>
    <x:t xml:space="preserve">Resposta</x:t>
  </x:si>
</x:sst>
</file>

<file path=xl/styles.xml><?xml version="1.0" encoding="utf-8"?>
<x:styleSheet xmlns:x="http://schemas.openxmlformats.org/spreadsheetml/2006/main">
  <x:numFmts count="4">
    <x:numFmt numFmtId="164" formatCode="0.000"/>
    <x:numFmt numFmtId="200" formatCode="0"/>
    <x:numFmt numFmtId="201" formatCode="0.000000"/>
    <x:numFmt numFmtId="202" formatCode="#,##0"/>
  </x:numFmts>
  <x:fonts count="14">
    <x:font>
      <x:sz val="11"/>
      <x:name val="Carlito"/>
    </x:font>
    <x:font>
      <x:sz val="11"/>
      <x:color rgb="1F2937"/>
      <x:name val="Calibri"/>
    </x:font>
    <x:font>
      <x:b/>
      <x:sz val="16"/>
      <x:color rgb="FFFFFF"/>
      <x:name val="Calibri"/>
    </x:font>
    <x:font>
      <x:b/>
      <x:sz val="12"/>
      <x:color rgb="FFFFFF"/>
      <x:name val="Calibri"/>
    </x:font>
    <x:font>
      <x:b/>
      <x:sz val="11"/>
      <x:color rgb="1F2937"/>
      <x:name val="Calibri"/>
    </x:font>
    <x:font>
      <x:b/>
      <x:sz val="11"/>
      <x:color rgb="FFFFFF"/>
      <x:name val="Calibri"/>
    </x:font>
    <x:font>
      <x:b/>
      <x:sz val="16"/>
      <x:color rgb="FFFFFF"/>
      <x:name val="Calibri"/>
    </x:font>
    <x:font>
      <x:b/>
      <x:sz val="16"/>
      <x:color rgb="FFFFFF"/>
      <x:name val="Calibri"/>
    </x:font>
    <x:font>
      <x:b/>
      <x:sz val="11"/>
      <x:color rgb="FFFFFF"/>
      <x:name val="Calibri"/>
    </x:font>
    <x:font>
      <x:b/>
      <x:sz val="11"/>
      <x:color rgb="1F2937"/>
      <x:name val="Calibri"/>
    </x:font>
    <x:font>
      <x:sz val="11"/>
      <x:color rgb="FF0000"/>
      <x:name val="Calibri"/>
    </x:font>
    <x:font>
      <x:i/>
      <x:sz val="11"/>
      <x:color rgb="1F2937"/>
      <x:name val="Calibri"/>
    </x:font>
    <x:font>
      <x:b/>
      <x:sz val="11"/>
      <x:color rgb="000000"/>
      <x:name val="Calibri"/>
    </x:font>
    <x:font>
      <x:b/>
      <x:sz val="11"/>
      <x:color rgb="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F3F8FC"/>
      </x:patternFill>
    </x:fill>
    <x:fill>
      <x:patternFill patternType="solid">
        <x:fgColor rgb="5B9BD5"/>
      </x:patternFill>
    </x:fill>
    <x:fill>
      <x:patternFill patternType="solid">
        <x:fgColor rgb="BDD7EE"/>
      </x:patternFill>
    </x:fill>
    <x:fill>
      <x:patternFill patternType="solid">
        <x:fgColor rgb="F2F2F2"/>
      </x:patternFill>
    </x:fill>
    <x:fill>
      <x:patternFill patternType="solid">
        <x:fgColor rgb="FFFFFF"/>
      </x:patternFill>
    </x:fill>
    <x:fill>
      <x:patternFill patternType="solid">
        <x:fgColor theme="0"/>
      </x:patternFill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FFF2CC"/>
      </x:patternFill>
    </x:fill>
  </x:fills>
  <x:borders count="19">
    <x:border/>
    <x:border/>
    <x:border>
      <x:left style="thin">
        <x:color rgb="B7C9D6"/>
      </x:left>
      <x:top style="thin">
        <x:color rgb="B7C9D6"/>
      </x:top>
    </x:border>
    <x:border>
      <x:left style="thin">
        <x:color rgb="B7C9D6"/>
      </x:left>
    </x:border>
    <x:border>
      <x:left style="thin">
        <x:color rgb="B7C9D6"/>
      </x:left>
      <x:bottom style="thin">
        <x:color rgb="B7C9D6"/>
      </x:bottom>
    </x:border>
    <x:border>
      <x:left style="thin">
        <x:color rgb="B7C9D6"/>
      </x:left>
      <x:top style="thin">
        <x:color rgb="B7C9D6"/>
      </x:top>
    </x:border>
    <x:border>
      <x:right style="thin">
        <x:color rgb="B7C9D6"/>
      </x:right>
      <x:top style="thin">
        <x:color rgb="B7C9D6"/>
      </x:top>
    </x:border>
    <x:border>
      <x:right style="thin">
        <x:color rgb="B7C9D6"/>
      </x:right>
    </x:border>
    <x:border>
      <x:top style="thin">
        <x:color rgb="B7C9D6"/>
      </x:top>
    </x:border>
    <x:border>
      <x:bottom style="thin">
        <x:color rgb="B7C9D6"/>
      </x:bottom>
    </x:border>
    <x:border>
      <x:top style="thin">
        <x:color rgb="B7C9D6"/>
      </x:top>
    </x:border>
    <x:border/>
    <x:border>
      <x:left style="thin">
        <x:color rgb="B7C9D6"/>
      </x:left>
      <x:top style="thin">
        <x:color rgb="B7C9D6"/>
      </x:top>
    </x:border>
    <x:border>
      <x:top style="thin">
        <x:color rgb="B7C9D6"/>
      </x:top>
    </x:border>
    <x:border>
      <x:left style="thin">
        <x:color rgb="B7C9D6"/>
      </x:left>
    </x:border>
    <x:border>
      <x:left style="thin">
        <x:color rgb="B7C9D6"/>
      </x:left>
      <x:bottom style="thin">
        <x:color rgb="B7C9D6"/>
      </x:bottom>
    </x:border>
    <x:border>
      <x:bottom style="thin">
        <x:color rgb="B7C9D6"/>
      </x:bottom>
    </x:border>
    <x:border>
      <x:right style="thin">
        <x:color rgb="B7C9D6"/>
      </x:right>
    </x:border>
    <x:border>
      <x:right style="thin">
        <x:color rgb="B7C9D6"/>
      </x:right>
      <x:top style="thin">
        <x:color rgb="B7C9D6"/>
      </x:top>
    </x:border>
  </x:borders>
  <x:cellStyleXfs count="1">
    <x:xf numFmtId="0" fontId="0" fillId="0" borderId="0"/>
  </x:cellStyleXfs>
  <x:cellXfs count="139">
    <x:xf numFmtId="0" fontId="0" fillId="0" borderId="0" xfId="0"/>
    <x:xf numFmtId="0" fontId="1" fillId="0" borderId="0" xfId="0" applyFont="1" applyAlignment="1">
      <x:alignment wrapText="1"/>
    </x:xf>
    <x:xf numFmtId="0" fontId="1" fillId="7" borderId="0" xfId="0" applyFont="1" applyFill="1" applyAlignment="1">
      <x:alignment vertical="top" wrapText="1"/>
    </x:xf>
    <x:xf numFmtId="0" fontId="4" fillId="5" borderId="2" xfId="0" applyFont="1" applyFill="1" applyBorder="1" applyAlignment="1">
      <x:alignment horizontal="center" vertical="center" wrapText="1"/>
    </x:xf>
    <x:xf numFmtId="3" fontId="1" fillId="7" borderId="0" xfId="0" applyNumberFormat="1" applyFont="1" applyFill="1" applyAlignment="1">
      <x:alignment horizontal="center" vertical="top" wrapText="1"/>
    </x:xf>
    <x:xf numFmtId="164" fontId="1" fillId="7" borderId="0" xfId="0" applyNumberFormat="1" applyFont="1" applyFill="1" applyAlignment="1">
      <x:alignment horizontal="center" vertical="top" wrapText="1"/>
    </x:xf>
    <x:xf numFmtId="0" fontId="5" fillId="2" borderId="2" xfId="0" applyFont="1" applyFill="1" applyBorder="1" applyAlignment="1">
      <x:alignment horizontal="center" vertical="center" wrapText="1"/>
    </x:xf>
    <x:xf numFmtId="0" fontId="5" fillId="2" borderId="8" xfId="0" applyFont="1" applyFill="1" applyBorder="1" applyAlignment="1">
      <x:alignment horizontal="center" vertical="center" wrapText="1"/>
    </x:xf>
    <x:xf numFmtId="0" fontId="1" fillId="7" borderId="3" xfId="0" applyFont="1" applyFill="1" applyBorder="1" applyAlignment="1">
      <x:alignment vertical="top" wrapText="1"/>
    </x:xf>
    <x:xf numFmtId="0" fontId="1" fillId="7" borderId="4" xfId="0" applyFont="1" applyFill="1" applyBorder="1" applyAlignment="1">
      <x:alignment vertical="top" wrapText="1"/>
    </x:xf>
    <x:xf numFmtId="0" fontId="1" fillId="7" borderId="9" xfId="0" applyFont="1" applyFill="1" applyBorder="1" applyAlignment="1">
      <x:alignment vertical="top" wrapText="1"/>
    </x:xf>
    <x:xf numFmtId="3" fontId="1" fillId="7" borderId="9" xfId="0" applyNumberFormat="1" applyFont="1" applyFill="1" applyBorder="1" applyAlignment="1">
      <x:alignment horizontal="center" vertical="top" wrapText="1"/>
    </x:xf>
    <x:xf numFmtId="164" fontId="1" fillId="7" borderId="9" xfId="0" applyNumberFormat="1" applyFont="1" applyFill="1" applyBorder="1" applyAlignment="1">
      <x:alignment horizontal="center" vertical="top" wrapText="1"/>
    </x:xf>
    <x:xf numFmtId="0" fontId="4" fillId="6" borderId="3" xfId="0" applyFont="1" applyFill="1" applyBorder="1" applyAlignment="1">
      <x:alignment vertical="top" wrapText="1"/>
    </x:xf>
    <x:xf numFmtId="0" fontId="8" fillId="2" borderId="8" xfId="0" applyFont="1" applyFill="1" applyBorder="1" applyAlignment="1">
      <x:alignment horizontal="center" vertical="center" wrapText="1"/>
    </x:xf>
    <x:xf numFmtId="0" fontId="4" fillId="0" borderId="3" xfId="0" applyFont="1" applyBorder="1" applyAlignment="1">
      <x:alignment wrapText="1"/>
    </x:xf>
    <x:xf numFmtId="0" fontId="9" fillId="0" borderId="3" xfId="0" applyFont="1" applyBorder="1" applyAlignment="1">
      <x:alignment wrapText="1"/>
    </x:xf>
    <x:xf numFmtId="164" fontId="1" fillId="8" borderId="0" xfId="0" applyNumberFormat="1" applyFont="1" applyFill="1" applyAlignment="1">
      <x:alignment horizontal="center" vertical="center" wrapText="1"/>
    </x:xf>
    <x:xf numFmtId="164" fontId="1" fillId="8" borderId="9" xfId="0" applyNumberFormat="1" applyFont="1" applyFill="1" applyBorder="1" applyAlignment="1">
      <x:alignment horizontal="center" vertical="center" wrapText="1"/>
    </x:xf>
    <x:xf numFmtId="0" fontId="1" fillId="8" borderId="0" xfId="0" applyFont="1" applyFill="1" applyAlignment="1">
      <x:alignment wrapText="1"/>
    </x:xf>
    <x:xf numFmtId="0" fontId="9" fillId="6" borderId="3" xfId="0" applyFont="1" applyFill="1" applyBorder="1" applyAlignment="1">
      <x:alignment vertical="top" wrapText="1"/>
    </x:xf>
    <x:xf numFmtId="0" fontId="10" fillId="0" borderId="1" xfId="0" applyFont="1" applyBorder="1" applyAlignment="1">
      <x:alignment horizontal="left" vertical="top" wrapText="1"/>
    </x:xf>
    <x:xf numFmtId="0" fontId="10" fillId="0" borderId="7" xfId="0" applyFont="1" applyBorder="1" applyAlignment="1">
      <x:alignment horizontal="left" vertical="top" wrapText="1"/>
    </x:xf>
    <x:xf numFmtId="0" fontId="10" fillId="7" borderId="0" xfId="0" applyFont="1" applyFill="1" applyAlignment="1">
      <x:alignment vertical="top" wrapText="1"/>
    </x:xf>
    <x:xf numFmtId="0" fontId="4" fillId="5" borderId="5" xfId="0" applyFont="1" applyFill="1" applyBorder="1" applyAlignment="1">
      <x:alignment horizontal="center" vertical="center" wrapText="1"/>
    </x:xf>
    <x:xf numFmtId="0" fontId="4" fillId="5" borderId="10" xfId="0" applyFont="1" applyFill="1" applyBorder="1" applyAlignment="1">
      <x:alignment horizontal="center" vertical="center" wrapText="1"/>
    </x:xf>
    <x:xf numFmtId="0" fontId="4" fillId="5" borderId="6" xfId="0" applyFont="1" applyFill="1" applyBorder="1" applyAlignment="1">
      <x:alignment horizontal="center" vertical="center" wrapText="1"/>
    </x:xf>
    <x:xf numFmtId="0" fontId="3" fillId="4" borderId="0" xfId="0" applyFont="1" applyFill="1" applyAlignment="1">
      <x:alignment horizontal="left" vertical="center" wrapText="1"/>
    </x:xf>
    <x:xf numFmtId="0" fontId="5" fillId="2" borderId="8" xfId="0" applyFont="1" applyFill="1" applyBorder="1" applyAlignment="1">
      <x:alignment horizontal="center" vertical="center" wrapText="1"/>
    </x:xf>
    <x:xf numFmtId="0" fontId="2" fillId="2" borderId="0" xfId="0" applyFont="1" applyFill="1" applyAlignment="1">
      <x:alignment horizontal="center" vertical="center" wrapText="1"/>
    </x:xf>
    <x:xf numFmtId="0" fontId="7" fillId="2" borderId="1" xfId="0" applyFont="1" applyFill="1" applyBorder="1" applyAlignment="1">
      <x:alignment horizontal="center" vertical="center" wrapText="1"/>
    </x:xf>
    <x:xf numFmtId="0" fontId="6" fillId="2" borderId="1" xfId="0" applyFont="1" applyFill="1" applyBorder="1" applyAlignment="1">
      <x:alignment horizontal="center" vertical="center" wrapText="1"/>
    </x:xf>
    <x:xf numFmtId="0" fontId="11" fillId="3" borderId="5" xfId="0" applyFont="1" applyFill="1" applyBorder="1" applyAlignment="1">
      <x:alignment horizontal="center" vertical="center" wrapText="1"/>
    </x:xf>
    <x:xf numFmtId="0" fontId="11" fillId="3" borderId="10" xfId="0" applyFont="1" applyFill="1" applyBorder="1" applyAlignment="1">
      <x:alignment horizontal="center" vertical="center" wrapText="1"/>
    </x:xf>
    <x:xf numFmtId="0" fontId="4" fillId="5" borderId="1" xfId="0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/>
    <x:xf numFmtId="0" fontId="1" fillId="0" borderId="11" xfId="0" applyNumberFormat="1" applyFont="1" applyFill="1" applyBorder="1" applyAlignment="1">
      <x:alignment wrapText="1"/>
    </x:xf>
    <x:xf numFmtId="0" fontId="1" fillId="7" borderId="11" xfId="0" applyNumberFormat="1" applyFont="1" applyFill="1" applyBorder="1" applyAlignment="1">
      <x:alignment vertical="top" wrapText="1"/>
    </x:xf>
    <x:xf numFmtId="0" fontId="4" fillId="5" borderId="12" xfId="0" applyNumberFormat="1" applyFont="1" applyFill="1" applyBorder="1" applyAlignment="1">
      <x:alignment horizontal="center" vertical="center" wrapText="1"/>
    </x:xf>
    <x:xf numFmtId="3" fontId="1" fillId="7" borderId="11" xfId="0" applyNumberFormat="1" applyFont="1" applyFill="1" applyBorder="1" applyAlignment="1">
      <x:alignment horizontal="center" vertical="top" wrapText="1"/>
    </x:xf>
    <x:xf numFmtId="164" fontId="1" fillId="7" borderId="11" xfId="0" applyNumberFormat="1" applyFont="1" applyFill="1" applyBorder="1" applyAlignment="1">
      <x:alignment horizontal="center" vertical="top" wrapText="1"/>
    </x:xf>
    <x:xf numFmtId="0" fontId="5" fillId="2" borderId="12" xfId="0" applyNumberFormat="1" applyFont="1" applyFill="1" applyBorder="1" applyAlignment="1">
      <x:alignment horizontal="center" vertical="center" wrapText="1"/>
    </x:xf>
    <x:xf numFmtId="0" fontId="5" fillId="2" borderId="13" xfId="0" applyNumberFormat="1" applyFont="1" applyFill="1" applyBorder="1" applyAlignment="1">
      <x:alignment horizontal="center" vertical="center" wrapText="1"/>
    </x:xf>
    <x:xf numFmtId="0" fontId="1" fillId="7" borderId="14" xfId="0" applyNumberFormat="1" applyFont="1" applyFill="1" applyBorder="1" applyAlignment="1">
      <x:alignment vertical="top" wrapText="1"/>
    </x:xf>
    <x:xf numFmtId="0" fontId="1" fillId="7" borderId="15" xfId="0" applyNumberFormat="1" applyFont="1" applyFill="1" applyBorder="1" applyAlignment="1">
      <x:alignment vertical="top" wrapText="1"/>
    </x:xf>
    <x:xf numFmtId="0" fontId="1" fillId="7" borderId="16" xfId="0" applyNumberFormat="1" applyFont="1" applyFill="1" applyBorder="1" applyAlignment="1">
      <x:alignment vertical="top" wrapText="1"/>
    </x:xf>
    <x:xf numFmtId="3" fontId="1" fillId="7" borderId="16" xfId="0" applyNumberFormat="1" applyFont="1" applyFill="1" applyBorder="1" applyAlignment="1">
      <x:alignment horizontal="center" vertical="top" wrapText="1"/>
    </x:xf>
    <x:xf numFmtId="164" fontId="1" fillId="7" borderId="16" xfId="0" applyNumberFormat="1" applyFont="1" applyFill="1" applyBorder="1" applyAlignment="1">
      <x:alignment horizontal="center" vertical="top" wrapText="1"/>
    </x:xf>
    <x:xf numFmtId="0" fontId="4" fillId="6" borderId="14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wrapText="1"/>
    </x:xf>
    <x:xf numFmtId="164" fontId="1" fillId="8" borderId="11" xfId="0" applyNumberFormat="1" applyFont="1" applyFill="1" applyBorder="1" applyAlignment="1">
      <x:alignment horizontal="center" vertical="center" wrapText="1"/>
    </x:xf>
    <x:xf numFmtId="164" fontId="1" fillId="8" borderId="16" xfId="0" applyNumberFormat="1" applyFont="1" applyFill="1" applyBorder="1" applyAlignment="1">
      <x:alignment horizontal="center" vertical="center" wrapText="1"/>
    </x:xf>
    <x:xf numFmtId="0" fontId="1" fillId="8" borderId="11" xfId="0" applyNumberFormat="1" applyFont="1" applyFill="1" applyBorder="1" applyAlignment="1">
      <x:alignment wrapText="1"/>
    </x:xf>
    <x:xf numFmtId="0" fontId="10" fillId="0" borderId="11" xfId="0" applyNumberFormat="1" applyFont="1" applyFill="1" applyBorder="1" applyAlignment="1">
      <x:alignment horizontal="left" vertical="top" wrapText="1"/>
    </x:xf>
    <x:xf numFmtId="0" fontId="10" fillId="0" borderId="17" xfId="0" applyNumberFormat="1" applyFont="1" applyFill="1" applyBorder="1" applyAlignment="1">
      <x:alignment horizontal="left" vertical="top" wrapText="1"/>
    </x:xf>
    <x:xf numFmtId="0" fontId="10" fillId="7" borderId="11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horizontal="center" vertical="center" wrapText="1"/>
    </x:xf>
    <x:xf numFmtId="0" fontId="4" fillId="5" borderId="18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left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11" fillId="3" borderId="12" xfId="0" applyNumberFormat="1" applyFont="1" applyFill="1" applyBorder="1" applyAlignment="1">
      <x:alignment horizontal="center" vertical="center" wrapText="1"/>
    </x:xf>
    <x:xf numFmtId="0" fontId="11" fillId="3" borderId="13" xfId="0" applyNumberFormat="1" applyFont="1" applyFill="1" applyBorder="1" applyAlignment="1">
      <x:alignment horizontal="center" vertical="center" wrapText="1"/>
    </x:xf>
    <x:xf numFmtId="0" fontId="4" fillId="5" borderId="11" xfId="0" applyNumberFormat="1" applyFont="1" applyFill="1" applyBorder="1" applyAlignment="1">
      <x:alignment horizontal="center" vertical="center" wrapText="1"/>
    </x:xf>
    <x:xf numFmtId="0" fontId="5" fillId="9" borderId="2" xfId="0" applyNumberFormat="1" applyFont="1" applyFill="1" applyBorder="1" applyAlignment="1">
      <x:alignment horizontal="center" vertical="center" wrapText="1"/>
    </x:xf>
    <x:xf numFmtId="0" fontId="5" fillId="9" borderId="8" xfId="0" applyNumberFormat="1" applyFont="1" applyFill="1" applyBorder="1" applyAlignment="1">
      <x:alignment horizontal="center" vertical="center" wrapText="1"/>
    </x:xf>
    <x:xf numFmtId="0" fontId="5" fillId="9" borderId="12" xfId="0" applyNumberFormat="1" applyFont="1" applyFill="1" applyBorder="1" applyAlignment="1">
      <x:alignment horizontal="center" vertical="center" wrapText="1"/>
    </x:xf>
    <x:xf numFmtId="0" fontId="5" fillId="9" borderId="13" xfId="0" applyNumberFormat="1" applyFont="1" applyFill="1" applyBorder="1" applyAlignment="1">
      <x:alignment horizontal="center" vertical="center" wrapText="1"/>
    </x:xf>
    <x:xf numFmtId="0" fontId="4" fillId="10" borderId="2" xfId="0" applyNumberFormat="1" applyFont="1" applyFill="1" applyBorder="1" applyAlignment="1">
      <x:alignment horizontal="center" vertical="center" wrapText="1"/>
    </x:xf>
    <x:xf numFmtId="0" fontId="4" fillId="10" borderId="0" xfId="0" applyNumberFormat="1" applyFont="1" applyFill="1" applyBorder="1" applyAlignment="1">
      <x:alignment horizontal="center" vertical="center" wrapText="1"/>
    </x:xf>
    <x:xf numFmtId="0" fontId="12" fillId="10" borderId="2" xfId="0" applyNumberFormat="1" applyFont="1" applyFill="1" applyBorder="1" applyAlignment="1">
      <x:alignment horizontal="center" vertical="center" wrapText="1"/>
    </x:xf>
    <x:xf numFmtId="0" fontId="12" fillId="10" borderId="0" xfId="0" applyNumberFormat="1" applyFont="1" applyFill="1" applyBorder="1" applyAlignment="1">
      <x:alignment horizontal="center" vertical="center" wrapText="1"/>
    </x:xf>
    <x:xf numFmtId="0" fontId="4" fillId="10" borderId="12" xfId="0" applyNumberFormat="1" applyFont="1" applyFill="1" applyBorder="1" applyAlignment="1">
      <x:alignment horizontal="center" vertical="center" wrapText="1"/>
    </x:xf>
    <x:xf numFmtId="0" fontId="4" fillId="10" borderId="11" xfId="0" applyNumberFormat="1" applyFont="1" applyFill="1" applyBorder="1" applyAlignment="1">
      <x:alignment horizontal="center" vertical="center" wrapText="1"/>
    </x:xf>
    <x:xf numFmtId="0" fontId="12" fillId="10" borderId="12" xfId="0" applyNumberFormat="1" applyFont="1" applyFill="1" applyBorder="1" applyAlignment="1">
      <x:alignment horizontal="center" vertical="center" wrapText="1"/>
    </x:xf>
    <x:xf numFmtId="0" fontId="12" fillId="10" borderId="11" xfId="0" applyNumberFormat="1" applyFont="1" applyFill="1" applyBorder="1" applyAlignment="1">
      <x:alignment horizontal="center" vertical="center" wrapText="1"/>
    </x:xf>
    <x:xf numFmtId="0" fontId="5" fillId="10" borderId="2" xfId="0" applyNumberFormat="1" applyFont="1" applyFill="1" applyBorder="1" applyAlignment="1">
      <x:alignment horizontal="center" vertical="center" wrapText="1"/>
    </x:xf>
    <x:xf numFmtId="0" fontId="5" fillId="10" borderId="8" xfId="0" applyNumberFormat="1" applyFont="1" applyFill="1" applyBorder="1" applyAlignment="1">
      <x:alignment horizontal="center" vertical="center" wrapText="1"/>
    </x:xf>
    <x:xf numFmtId="0" fontId="12" fillId="10" borderId="8" xfId="0" applyNumberFormat="1" applyFont="1" applyFill="1" applyBorder="1" applyAlignment="1">
      <x:alignment horizontal="center" vertical="center" wrapText="1"/>
    </x:xf>
    <x:xf numFmtId="0" fontId="5" fillId="10" borderId="12" xfId="0" applyNumberFormat="1" applyFont="1" applyFill="1" applyBorder="1" applyAlignment="1">
      <x:alignment horizontal="center" vertical="center" wrapText="1"/>
    </x:xf>
    <x:xf numFmtId="0" fontId="5" fillId="10" borderId="13" xfId="0" applyNumberFormat="1" applyFont="1" applyFill="1" applyBorder="1" applyAlignment="1">
      <x:alignment horizontal="center" vertical="center" wrapText="1"/>
    </x:xf>
    <x:xf numFmtId="0" fontId="12" fillId="10" borderId="13" xfId="0" applyNumberFormat="1" applyFont="1" applyFill="1" applyBorder="1" applyAlignment="1">
      <x:alignment horizontal="center" vertical="center" wrapText="1"/>
    </x:xf>
    <x:xf numFmtId="0" fontId="4" fillId="9" borderId="2" xfId="0" applyNumberFormat="1" applyFont="1" applyFill="1" applyBorder="1" applyAlignment="1">
      <x:alignment horizontal="center" vertical="center" wrapText="1"/>
    </x:xf>
    <x:xf numFmtId="0" fontId="4" fillId="9" borderId="8" xfId="0" applyNumberFormat="1" applyFont="1" applyFill="1" applyBorder="1" applyAlignment="1">
      <x:alignment horizontal="center" vertical="center" wrapText="1"/>
    </x:xf>
    <x:xf numFmtId="0" fontId="4" fillId="9" borderId="12" xfId="0" applyNumberFormat="1" applyFont="1" applyFill="1" applyBorder="1" applyAlignment="1">
      <x:alignment horizontal="center" vertical="center" wrapText="1"/>
    </x:xf>
    <x:xf numFmtId="0" fontId="4" fillId="9" borderId="13" xfId="0" applyNumberFormat="1" applyFont="1" applyFill="1" applyBorder="1" applyAlignment="1">
      <x:alignment horizontal="center" vertical="center" wrapText="1"/>
    </x:xf>
    <x:xf numFmtId="0" fontId="1" fillId="7" borderId="3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3" fontId="1" fillId="7" borderId="0" xfId="0" applyNumberFormat="1" applyFont="1" applyFill="1" applyBorder="1" applyAlignment="1">
      <x:alignment horizontal="center" vertical="top" wrapText="1"/>
    </x:xf>
    <x:xf numFmtId="164" fontId="1" fillId="7" borderId="0" xfId="0" applyNumberFormat="1" applyFont="1" applyFill="1" applyBorder="1" applyAlignment="1">
      <x:alignment horizontal="center" vertical="top" wrapText="1"/>
    </x:xf>
    <x:xf numFmtId="164" fontId="1" fillId="8" borderId="0" xfId="0" applyNumberFormat="1" applyFont="1" applyFill="1" applyBorder="1" applyAlignment="1">
      <x:alignment horizontal="center" vertical="center" wrapText="1"/>
    </x:xf>
    <x:xf numFmtId="0" fontId="1" fillId="7" borderId="4" xfId="0" applyNumberFormat="1" applyFont="1" applyFill="1" applyBorder="1" applyAlignment="1">
      <x:alignment vertical="top" wrapText="1"/>
    </x:xf>
    <x:xf numFmtId="0" fontId="1" fillId="7" borderId="9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vertical="top" wrapText="1"/>
    </x:xf>
    <x:xf numFmtId="0" fontId="10" fillId="7" borderId="0" xfId="0" applyNumberFormat="1" applyFont="1" applyFill="1" applyBorder="1" applyAlignment="1">
      <x:alignment vertical="top" wrapText="1"/>
    </x:xf>
    <x:xf numFmtId="0" fontId="11" fillId="3" borderId="2" xfId="0" applyNumberFormat="1" applyFont="1" applyFill="1" applyBorder="1" applyAlignment="1">
      <x:alignment horizontal="center" vertical="center" wrapText="1"/>
    </x:xf>
    <x:xf numFmtId="0" fontId="11" fillId="3" borderId="8" xfId="0" applyNumberFormat="1" applyFont="1" applyFill="1" applyBorder="1" applyAlignment="1">
      <x:alignment horizontal="center" vertical="center" wrapText="1"/>
    </x:xf>
    <x:xf numFmtId="0" fontId="11" fillId="11" borderId="2" xfId="0" applyNumberFormat="1" applyFont="1" applyFill="1" applyBorder="1" applyAlignment="1">
      <x:alignment horizontal="center" vertical="center" wrapText="1"/>
    </x:xf>
    <x:xf numFmtId="0" fontId="11" fillId="11" borderId="8" xfId="0" applyNumberFormat="1" applyFont="1" applyFill="1" applyBorder="1" applyAlignment="1">
      <x:alignment horizontal="center" vertical="center" wrapText="1"/>
    </x:xf>
    <x:xf numFmtId="0" fontId="11" fillId="11" borderId="12" xfId="0" applyNumberFormat="1" applyFont="1" applyFill="1" applyBorder="1" applyAlignment="1">
      <x:alignment horizontal="center" vertical="center" wrapText="1"/>
    </x:xf>
    <x:xf numFmtId="0" fontId="11" fillId="11" borderId="13" xfId="0" applyNumberFormat="1" applyFont="1" applyFill="1" applyBorder="1" applyAlignment="1">
      <x:alignment horizontal="center" vertical="center" wrapText="1"/>
    </x:xf>
    <x:xf numFmtId="200" fontId="1" fillId="7" borderId="0" xfId="0" applyNumberFormat="1" applyFont="1" applyFill="1" applyBorder="1" applyAlignment="1">
      <x:alignment horizontal="center" vertical="top" wrapText="1"/>
    </x:xf>
    <x:xf numFmtId="200" fontId="1" fillId="7" borderId="9" xfId="0" applyNumberFormat="1" applyFont="1" applyFill="1" applyBorder="1" applyAlignment="1">
      <x:alignment horizontal="center" vertical="top" wrapText="1"/>
    </x:xf>
    <x:xf numFmtId="200" fontId="1" fillId="7" borderId="11" xfId="0" applyNumberFormat="1" applyFont="1" applyFill="1" applyBorder="1" applyAlignment="1">
      <x:alignment horizontal="center" vertical="top" wrapText="1"/>
    </x:xf>
    <x:xf numFmtId="200" fontId="1" fillId="7" borderId="16" xfId="0" applyNumberFormat="1" applyFont="1" applyFill="1" applyBorder="1" applyAlignment="1">
      <x:alignment horizontal="center" vertical="top" wrapText="1"/>
    </x:xf>
    <x:xf numFmtId="201" fontId="1" fillId="7" borderId="0" xfId="0" applyNumberFormat="1" applyFont="1" applyFill="1" applyBorder="1" applyAlignment="1">
      <x:alignment horizontal="center" vertical="top" wrapText="1"/>
    </x:xf>
    <x:xf numFmtId="201" fontId="1" fillId="8" borderId="0" xfId="0" applyNumberFormat="1" applyFont="1" applyFill="1" applyBorder="1" applyAlignment="1">
      <x:alignment horizontal="center" vertical="center" wrapText="1"/>
    </x:xf>
    <x:xf numFmtId="201" fontId="1" fillId="7" borderId="9" xfId="0" applyNumberFormat="1" applyFont="1" applyFill="1" applyBorder="1" applyAlignment="1">
      <x:alignment horizontal="center" vertical="top" wrapText="1"/>
    </x:xf>
    <x:xf numFmtId="201" fontId="1" fillId="8" borderId="9" xfId="0" applyNumberFormat="1" applyFont="1" applyFill="1" applyBorder="1" applyAlignment="1">
      <x:alignment horizontal="center" vertical="center" wrapText="1"/>
    </x:xf>
    <x:xf numFmtId="201" fontId="1" fillId="7" borderId="11" xfId="0" applyNumberFormat="1" applyFont="1" applyFill="1" applyBorder="1" applyAlignment="1">
      <x:alignment horizontal="center" vertical="top" wrapText="1"/>
    </x:xf>
    <x:xf numFmtId="201" fontId="1" fillId="8" borderId="11" xfId="0" applyNumberFormat="1" applyFont="1" applyFill="1" applyBorder="1" applyAlignment="1">
      <x:alignment horizontal="center" vertical="center" wrapText="1"/>
    </x:xf>
    <x:xf numFmtId="201" fontId="1" fillId="7" borderId="16" xfId="0" applyNumberFormat="1" applyFont="1" applyFill="1" applyBorder="1" applyAlignment="1">
      <x:alignment horizontal="center" vertical="top" wrapText="1"/>
    </x:xf>
    <x:xf numFmtId="201" fontId="1" fillId="8" borderId="16" xfId="0" applyNumberFormat="1" applyFont="1" applyFill="1" applyBorder="1" applyAlignment="1">
      <x:alignment horizontal="center" vertical="center" wrapText="1"/>
    </x:xf>
    <x:xf numFmtId="202" fontId="1" fillId="7" borderId="0" xfId="0" applyNumberFormat="1" applyFont="1" applyFill="1" applyBorder="1" applyAlignment="1">
      <x:alignment vertical="top" wrapText="1"/>
    </x:xf>
    <x:xf numFmtId="202" fontId="1" fillId="7" borderId="11" xfId="0" applyNumberFormat="1" applyFont="1" applyFill="1" applyBorder="1" applyAlignment="1">
      <x:alignment vertical="top" wrapText="1"/>
    </x:xf>
    <x:xf numFmtId="200" fontId="5" fillId="9" borderId="2" xfId="0" applyNumberFormat="1" applyFont="1" applyFill="1" applyBorder="1" applyAlignment="1">
      <x:alignment horizontal="center" vertical="center" wrapText="1"/>
    </x:xf>
    <x:xf numFmtId="200" fontId="1" fillId="8" borderId="0" xfId="0" applyNumberFormat="1" applyFont="1" applyFill="1" applyBorder="1" applyAlignment="1">
      <x:alignment wrapText="1"/>
    </x:xf>
    <x:xf numFmtId="200" fontId="5" fillId="9" borderId="12" xfId="0" applyNumberFormat="1" applyFont="1" applyFill="1" applyBorder="1" applyAlignment="1">
      <x:alignment horizontal="center" vertical="center" wrapText="1"/>
    </x:xf>
    <x:xf numFmtId="200" fontId="1" fillId="8" borderId="11" xfId="0" applyNumberFormat="1" applyFont="1" applyFill="1" applyBorder="1" applyAlignment="1">
      <x:alignment wrapText="1"/>
    </x:xf>
    <x:xf numFmtId="201" fontId="1" fillId="8" borderId="0" xfId="0" applyNumberFormat="1" applyFont="1" applyFill="1" applyBorder="1" applyAlignment="1">
      <x:alignment wrapText="1"/>
    </x:xf>
    <x:xf numFmtId="201" fontId="1" fillId="8" borderId="1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3" fillId="9" borderId="0" xfId="0" applyNumberFormat="1" applyFont="1" applyFill="1" applyBorder="1"/>
    <x:xf numFmtId="0" fontId="13" fillId="9" borderId="0" xfId="0" applyNumberFormat="1" applyFont="1" applyFill="1" applyBorder="1" applyAlignment="1">
      <x:alignment horizontal="center"/>
    </x:xf>
    <x:xf numFmtId="0" fontId="13" fillId="9" borderId="0" xfId="0" applyNumberFormat="1" applyFont="1" applyFill="1" applyBorder="1" applyAlignment="1">
      <x:alignment horizontal="center" vertical="center"/>
    </x:xf>
    <x:xf numFmtId="0" fontId="0" fillId="9" borderId="11" xfId="0" applyNumberFormat="1" applyFont="1" applyFill="1" applyBorder="1"/>
    <x:xf numFmtId="0" fontId="13" fillId="9" borderId="11" xfId="0" applyNumberFormat="1" applyFont="1" applyFill="1" applyBorder="1"/>
    <x:xf numFmtId="0" fontId="13" fillId="9" borderId="11" xfId="0" applyNumberFormat="1" applyFont="1" applyFill="1" applyBorder="1" applyAlignment="1">
      <x:alignment horizontal="center"/>
    </x:xf>
    <x:xf numFmtId="0" fontId="13" fillId="9" borderId="1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1" xfId="0" applyNumberFormat="1" applyFont="1" applyFill="1" applyBorder="1" applyAlignment="1">
      <x:alignment wrapText="1"/>
    </x:xf>
    <x:xf numFmtId="201" fontId="0" fillId="0" borderId="1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1" xfId="0" applyNumberFormat="1" applyFont="1" applyFill="1" applyBorder="1" applyAlignment="1">
      <x:alignment wrapText="1"/>
    </x:xf>
    <x:xf numFmtId="202" fontId="0" fillId="0" borderId="11" xfId="0" applyNumberFormat="1" applyFont="1" applyFill="1" applyBorder="1"/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  <x:dxfs count="7">
    <x:dxf>
      <x:font>
        <x:u val="none"/>
        <x:sz val="11"/>
        <x:color rgb="FF1F2937"/>
        <x:name val="Calibri"/>
        <x:scheme val="none"/>
      </x:font>
      <x:numFmt numFmtId="3" formatCode="#,##0"/>
      <x:fill>
        <x:patternFill>
          <x:bgColor indexed="64"/>
        </x:patternFill>
      </x:fill>
    </x:dxf>
    <x:dxf>
      <x:font>
        <x:u val="none"/>
        <x:sz val="11"/>
        <x:color rgb="FF1F2937"/>
        <x:name val="Calibri"/>
        <x:scheme val="none"/>
      </x:font>
      <x:numFmt numFmtId="164" formatCode="0.000"/>
      <x:fill>
        <x:patternFill>
          <x:bgColor indexed="64"/>
        </x:patternFill>
      </x:fill>
    </x:dxf>
    <x:dxf>
      <x:font>
        <x:u val="none"/>
        <x:sz val="11"/>
        <x:color rgb="FF1F2937"/>
        <x:name val="Calibri"/>
        <x:scheme val="none"/>
      </x:font>
      <x:numFmt numFmtId="164" formatCode="0.000"/>
      <x:fill>
        <x:patternFill>
          <x:bgColor indexed="64"/>
        </x:patternFill>
      </x:fill>
    </x:dxf>
    <x:dxf>
      <x:font>
        <x:u val="none"/>
        <x:sz val="11"/>
        <x:color rgb="FF1F2937"/>
        <x:name val="Calibri"/>
        <x:scheme val="none"/>
      </x:font>
      <x:numFmt numFmtId="164" formatCode="0.000"/>
      <x:fill>
        <x:patternFill>
          <x:bgColor indexed="64"/>
        </x:patternFill>
      </x:fill>
    </x:dxf>
    <x:dxf>
      <x:font>
        <x:u val="none"/>
        <x:sz val="11"/>
        <x:color rgb="FF1F2937"/>
        <x:name val="Calibri"/>
        <x:scheme val="none"/>
      </x:font>
      <x:numFmt numFmtId="164" formatCode="0.000"/>
      <x:fill>
        <x:patternFill>
          <x:bgColor indexed="64"/>
        </x:patternFill>
      </x:fill>
    </x:dxf>
    <x:dxf>
      <x:font>
        <x:u val="none"/>
        <x:sz val="11"/>
        <x:color rgb="FF1F2937"/>
        <x:name val="Calibri"/>
        <x:scheme val="none"/>
      </x:font>
      <x:numFmt numFmtId="164" formatCode="0.000"/>
      <x:fill>
        <x:patternFill>
          <x:bgColor indexed="64"/>
        </x:patternFill>
      </x:fill>
    </x:dxf>
    <x:dxf>
      <x:font>
        <x:u val="none"/>
        <x:sz val="11"/>
        <x:color rgb="FF1F2937"/>
        <x:name val="Calibri"/>
        <x:scheme val="none"/>
      </x:font>
      <x:numFmt numFmtId="3" formatCode="#,##0"/>
      <x:fill>
        <x:patternFill>
          <x:bgColor indexed="6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ed3a132dc6434f" /><Relationship Type="http://schemas.openxmlformats.org/officeDocument/2006/relationships/theme" Target="/xl/theme/theme1.xml" Id="R1039d11e23dc4039" /><Relationship Type="http://schemas.openxmlformats.org/officeDocument/2006/relationships/sharedStrings" Target="/xl/sharedStrings.xml" Id="R72cb170f942a4c5d" /><Relationship Type="http://schemas.openxmlformats.org/officeDocument/2006/relationships/worksheet" Target="/xl/worksheets/sheet1.xml" Id="R7272abf140824816" /><Relationship Type="http://schemas.openxmlformats.org/officeDocument/2006/relationships/worksheet" Target="/xl/worksheets/sheet2.xml" Id="Rdfeb425e0b9a469b" /><Relationship Type="http://schemas.openxmlformats.org/officeDocument/2006/relationships/worksheet" Target="/xl/worksheets/sheet3.xml" Id="R045c13e4a7174b9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f3fbda9d54e48b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Tempo médio por tamanho do vetor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Insertion Sort</c:v>
          </c:tx>
          <c:cat>
            <c:strRef>
              <c:f>'Resultados - Ordenação'!$A$33:$A$35</c:f>
              <c:strCache>
                <c:ptCount val="0"/>
              </c:strCache>
            </c:strRef>
          </c:cat>
          <c:val>
            <c:numRef>
              <c:f>'Resultados - Ordenação'!$B$33:$B$35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Merge Sort</c:v>
          </c:tx>
          <c:cat>
            <c:strRef>
              <c:f>'Resultados - Ordenação'!$A$33:$A$35</c:f>
              <c:strCache>
                <c:ptCount val="0"/>
              </c:strCache>
            </c:strRef>
          </c:cat>
          <c:val>
            <c:numRef>
              <c:f>'Resultados - Ordenação'!$C$33:$C$35</c:f>
              <c:numCache>
                <c:formatCode>0.000000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Quick Sort</c:v>
          </c:tx>
          <c:cat>
            <c:strRef>
              <c:f>'Resultados - Ordenação'!$A$33:$A$35</c:f>
              <c:strCache>
                <c:ptCount val="0"/>
              </c:strCache>
            </c:strRef>
          </c:cat>
          <c:val>
            <c:numRef>
              <c:f>'Resultados - Ordenação'!$D$33:$D$35</c:f>
              <c:numCache>
                <c:formatCode>0.000000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31</xdr:row>
      <xdr:rowOff>0</xdr:rowOff>
    </xdr:from>
    <xdr:to>
      <xdr:col>9</xdr:col>
      <xdr:colOff>0</xdr:colOff>
      <xdr:row>46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3fbda9d54e48b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elaResultadosOrdenacao" displayName="TabelaResultadosOrdenacao" ref="A18:I27">
  <x:tableColumns count="9">
    <x:tableColumn id="1" name="Algoritmo"/>
    <x:tableColumn id="2" name="Complexidade no caso médio"/>
    <x:tableColumn id="5" name="Tamanho do vetor"/>
    <x:tableColumn id="6" name="Execução 1 (s)"/>
    <x:tableColumn id="7" name="Execução 2 (s)"/>
    <x:tableColumn id="8" name="Execução 3 (s)"/>
    <x:tableColumn id="9" name="Tempo médio (s)"/>
    <x:tableColumn id="10" name="Desvio padrão (s)"/>
    <x:tableColumn id="12" name="Trocas ou movimentações"/>
  </x:tableColumns>
  <x:tableStyleInfo name="TableStyleMedium2" showRowStripes="1"/>
</x:table>
</file>

<file path=xl/tables/table2.xml><?xml version="1.0" encoding="utf-8"?>
<x:table xmlns:x="http://schemas.openxmlformats.org/spreadsheetml/2006/main" id="2" name="TabelaDadosBrutos" displayName="TabelaDadosBrutos" ref="A1:E28" headerRowCount="1">
  <x:tableColumns count="5">
    <x:tableColumn id="1" name="Algoritmo"/>
    <x:tableColumn id="2" name="Tamanho do vetor"/>
    <x:tableColumn id="3" name="Execução"/>
    <x:tableColumn id="4" name="Tempo (s)"/>
    <x:tableColumn id="5" name="Trocas/movimentaçõ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a03d32211424b14" /><Relationship Type="http://schemas.openxmlformats.org/officeDocument/2006/relationships/table" Target="/xl/tables/table1.xml" Id="R0100c65e4e82406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cfc403cbaee41b6" /></Relationships>
</file>

<file path=xl/worksheets/sheet1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80" hidden="0" customWidth="1"/>
    <x:col min="3" max="3" width="15" hidden="0" customWidth="1"/>
    <x:col min="4" max="5" width="16" customWidth="1"/>
    <x:col min="6" max="8" width="14" customWidth="1"/>
    <x:col min="9" max="9" width="22" hidden="0" customWidth="1"/>
    <x:col min="4" max="4" width="14" hidden="0" customWidth="1"/>
    <x:col min="5" max="5" width="14" hidden="0" customWidth="1"/>
    <x:col min="6" max="6" width="14" hidden="0" customWidth="1"/>
    <x:col min="7" max="7" width="15" hidden="0" customWidth="1"/>
    <x:col min="8" max="8" width="16" hidden="0" customWidth="1"/>
  </x:cols>
  <x:sheetData>
    <x:row r="1" ht="21">
      <x:c r="A1" s="29" t="s">
        <x:v>0</x:v>
      </x:c>
      <x:c r="B1" s="29"/>
      <x:c r="C1" s="29"/>
      <x:c r="D1" s="29"/>
      <x:c r="E1" s="29"/>
      <x:c r="F1" s="29"/>
      <x:c r="G1" s="29"/>
      <x:c r="H1" s="29"/>
      <x:c r="I1" s="29"/>
    </x:row>
    <x:row r="2" ht="21">
      <x:c r="A2" s="29" t="s">
        <x:v>1</x:v>
      </x:c>
      <x:c r="B2" s="29"/>
      <x:c r="C2" s="29"/>
      <x:c r="D2" s="29"/>
      <x:c r="E2" s="29"/>
      <x:c r="F2" s="29"/>
      <x:c r="G2" s="29"/>
      <x:c r="H2" s="29"/>
      <x:c r="I2" s="29"/>
    </x:row>
    <x:row r="3" ht="21">
      <x:c r="A3" s="29" t="s">
        <x:v>2</x:v>
      </x:c>
      <x:c r="B3" s="29"/>
      <x:c r="C3" s="29"/>
      <x:c r="D3" s="29"/>
      <x:c r="E3" s="29"/>
      <x:c r="F3" s="29"/>
      <x:c r="G3" s="29"/>
      <x:c r="H3" s="29"/>
      <x:c r="I3" s="29"/>
    </x:row>
    <x:row r="4" ht="21" customHeight="1">
      <x:c r="A4" s="30" t="s">
        <x:v>3</x:v>
      </x:c>
      <x:c r="B4" s="31"/>
      <x:c r="C4" s="31"/>
      <x:c r="D4" s="31"/>
      <x:c r="E4" s="31"/>
      <x:c r="F4" s="31"/>
      <x:c r="G4" s="31"/>
      <x:c r="H4" s="31"/>
      <x:c r="I4" s="31"/>
    </x:row>
    <x:row r="5" ht="30" customHeight="1">
      <x:c r="A5" s="31"/>
      <x:c r="B5" s="31"/>
      <x:c r="C5" s="31"/>
      <x:c r="D5" s="31"/>
      <x:c r="E5" s="31"/>
      <x:c r="F5" s="31"/>
      <x:c r="G5" s="31"/>
      <x:c r="H5" s="31"/>
      <x:c r="I5" s="31"/>
    </x:row>
    <x:row r="6">
      <x:c r="A6" s="1"/>
      <x:c r="B6" s="1"/>
      <x:c r="C6" s="1"/>
      <x:c r="D6" s="1"/>
      <x:c r="E6" s="1"/>
      <x:c r="F6" s="1"/>
      <x:c r="G6" s="1"/>
      <x:c r="H6" s="1"/>
      <x:c r="I6" s="1"/>
    </x:row>
    <x:row r="7" ht="24" customHeight="1">
      <x:c r="A7" s="27" t="s">
        <x:v>4</x:v>
      </x:c>
      <x:c r="B7" s="27"/>
      <x:c r="C7" s="27"/>
      <x:c r="D7" s="27"/>
      <x:c r="E7" s="27"/>
      <x:c r="F7" s="27"/>
      <x:c r="G7" s="27"/>
      <x:c r="H7" s="27"/>
      <x:c r="I7" s="27"/>
    </x:row>
    <x:row r="8">
      <x:c r="A8" s="69" t="s">
        <x:v>5</x:v>
      </x:c>
      <x:c r="B8" s="70" t="s">
        <x:v>6</x:v>
      </x:c>
      <x:c r="C8" s="34"/>
      <x:c r="D8" s="34"/>
      <x:c r="E8" s="34"/>
      <x:c r="F8" s="34"/>
      <x:c r="G8" s="34"/>
      <x:c r="H8" s="34"/>
      <x:c r="I8" s="34"/>
    </x:row>
    <x:row r="9">
      <x:c r="A9" s="16" t="str">
        <x:v>Nome do aluno</x:v>
      </x:c>
      <x:c r="B9" s="21" t="str">
        <x:v>Preencher pelo aluno/grupo</x:v>
      </x:c>
      <x:c r="C9" s="21"/>
      <x:c r="D9" s="21"/>
      <x:c r="E9" s="21"/>
      <x:c r="F9" s="21"/>
      <x:c r="G9" s="21"/>
      <x:c r="H9" s="21"/>
      <x:c r="I9" s="22"/>
    </x:row>
    <x:row r="10">
      <x:c r="A10" s="16" t="str">
        <x:v>RA</x:v>
      </x:c>
      <x:c r="B10" s="21" t="str">
        <x:v>Preencher pelo aluno/grupo</x:v>
      </x:c>
      <x:c r="C10" s="21"/>
      <x:c r="D10" s="21"/>
      <x:c r="E10" s="21"/>
      <x:c r="F10" s="21"/>
      <x:c r="G10" s="21"/>
      <x:c r="H10" s="21"/>
      <x:c r="I10" s="22"/>
    </x:row>
    <x:row r="11" ht="30">
      <x:c r="A11" s="16" t="str">
        <x:v>Linguagem de programação utilizada</x:v>
      </x:c>
      <x:c r="B11" s="21" t="str">
        <x:v>C++17</x:v>
      </x:c>
      <x:c r="C11" s="21"/>
      <x:c r="D11" s="21"/>
      <x:c r="E11" s="21"/>
      <x:c r="F11" s="21"/>
      <x:c r="G11" s="21"/>
      <x:c r="H11" s="21"/>
      <x:c r="I11" s="22"/>
    </x:row>
    <x:row r="12">
      <x:c r="A12" s="15" t="str">
        <x:v>Sistema operacional</x:v>
      </x:c>
      <x:c r="B12" s="21" t="str">
        <x:v>Linux x86_64 — ambiente de execução usado para o teste</x:v>
      </x:c>
      <x:c r="C12" s="21"/>
      <x:c r="D12" s="21"/>
      <x:c r="E12" s="21"/>
      <x:c r="F12" s="21"/>
      <x:c r="G12" s="21"/>
      <x:c r="H12" s="21"/>
      <x:c r="I12" s="22"/>
    </x:row>
    <x:row r="13">
      <x:c r="A13" s="15" t="str">
        <x:v>Processador</x:v>
      </x:c>
      <x:c r="B13" s="21" t="str">
        <x:v>Não informado pelo ambiente de execução</x:v>
      </x:c>
      <x:c r="C13" s="21"/>
      <x:c r="D13" s="21"/>
      <x:c r="E13" s="21"/>
      <x:c r="F13" s="21"/>
      <x:c r="G13" s="21"/>
      <x:c r="H13" s="21"/>
      <x:c r="I13" s="22"/>
    </x:row>
    <x:row r="14">
      <x:c r="A14" s="15" t="str">
        <x:v>Memória RAM</x:v>
      </x:c>
      <x:c r="B14" s="21" t="str">
        <x:v>4,0 GiB</x:v>
      </x:c>
      <x:c r="C14" s="21"/>
      <x:c r="D14" s="21"/>
      <x:c r="E14" s="21"/>
      <x:c r="F14" s="21"/>
      <x:c r="G14" s="21"/>
      <x:c r="H14" s="21"/>
      <x:c r="I14" s="22"/>
    </x:row>
    <x:row r="15" ht="30">
      <x:c r="A15" s="15" t="str">
        <x:v>Link do GitHub com os códigos implementados</x:v>
      </x:c>
      <x:c r="B15" s="21" t="str">
        <x:v>Preencher se o professor exigir link externo</x:v>
      </x:c>
      <x:c r="C15" s="21"/>
      <x:c r="D15" s="21"/>
      <x:c r="E15" s="21"/>
      <x:c r="F15" s="21"/>
      <x:c r="G15" s="21"/>
      <x:c r="H15" s="21"/>
      <x:c r="I15" s="22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</x:row>
    <x:row r="17" ht="24" customHeight="1">
      <x:c r="A17" s="27" t="s">
        <x:v>7</x:v>
      </x:c>
      <x:c r="B17" s="27"/>
      <x:c r="C17" s="27"/>
      <x:c r="D17" s="27"/>
      <x:c r="E17" s="27"/>
      <x:c r="F17" s="27"/>
      <x:c r="G17" s="27"/>
      <x:c r="H17" s="27"/>
      <x:c r="I17" s="27"/>
    </x:row>
    <x:row r="18" ht="42" customHeight="1">
      <x:c r="A18" s="63" t="s">
        <x:v>8</x:v>
      </x:c>
      <x:c r="B18" s="64" t="s">
        <x:v>9</x:v>
      </x:c>
      <x:c r="C18" s="64" t="s">
        <x:v>10</x:v>
      </x:c>
      <x:c r="D18" s="64" t="s">
        <x:v>11</x:v>
      </x:c>
      <x:c r="E18" s="64" t="s">
        <x:v>12</x:v>
      </x:c>
      <x:c r="F18" s="64" t="s">
        <x:v>13</x:v>
      </x:c>
      <x:c r="G18" s="64" t="s">
        <x:v>14</x:v>
      </x:c>
      <x:c r="H18" s="64" t="s">
        <x:v>15</x:v>
      </x:c>
      <x:c r="I18" s="64" t="s">
        <x:v>16</x:v>
      </x:c>
    </x:row>
    <x:row r="19" ht="38.099998474121094" customHeight="1">
      <x:c r="A19" s="85" t="str">
        <x:v>Insertion Sort</x:v>
      </x:c>
      <x:c r="B19" s="86" t="str">
        <x:v>O(n²)</x:v>
      </x:c>
      <x:c r="C19" s="100" t="n">
        <x:v>1000</x:v>
      </x:c>
      <x:c r="D19" s="104" t="n">
        <x:v>0.00017</x:v>
      </x:c>
      <x:c r="E19" s="104" t="n">
        <x:v>0.000169</x:v>
      </x:c>
      <x:c r="F19" s="104" t="n">
        <x:v>0.00015</x:v>
      </x:c>
      <x:c r="G19" s="105" t="n">
        <x:f t="shared" ref="G19:G27" si="0">AVERAGE(D19:F19)</x:f>
        <x:v>0.00016299999999999998</x:v>
      </x:c>
      <x:c r="H19" s="105" t="n">
        <x:f t="shared" ref="H19:H27" si="1">STDEV.S(D19:F19)</x:f>
        <x:v>0.000011269427669584652</x:v>
      </x:c>
      <x:c r="I19" s="112" t="n">
        <x:v>248618</x:v>
      </x:c>
    </x:row>
    <x:row r="20" ht="38.099998474121094" customHeight="1">
      <x:c r="A20" s="85" t="str">
        <x:v>Insertion Sort</x:v>
      </x:c>
      <x:c r="B20" s="86" t="str">
        <x:v>O(n²)</x:v>
      </x:c>
      <x:c r="C20" s="100" t="n">
        <x:v>10000</x:v>
      </x:c>
      <x:c r="D20" s="104" t="n">
        <x:v>0.014666</x:v>
      </x:c>
      <x:c r="E20" s="104" t="n">
        <x:v>0.015074</x:v>
      </x:c>
      <x:c r="F20" s="104" t="n">
        <x:v>0.015218</x:v>
      </x:c>
      <x:c r="G20" s="105" t="n">
        <x:f t="shared" si="0">AVERAGE(D20:F20)</x:f>
        <x:v>0.014986000000000001</x:v>
      </x:c>
      <x:c r="H20" s="105" t="n">
        <x:f t="shared" si="1">STDEV.S(D20:F20)</x:f>
        <x:v>0.0002863284826907727</x:v>
      </x:c>
      <x:c r="I20" s="112" t="n">
        <x:v>25115476</x:v>
      </x:c>
    </x:row>
    <x:row r="21" ht="38.099998474121094" customHeight="1">
      <x:c r="A21" s="85" t="str">
        <x:v>Insertion Sort</x:v>
      </x:c>
      <x:c r="B21" s="86" t="str">
        <x:v>O(n²)</x:v>
      </x:c>
      <x:c r="C21" s="100" t="n">
        <x:v>100000</x:v>
      </x:c>
      <x:c r="D21" s="104" t="n">
        <x:v>1.473773</x:v>
      </x:c>
      <x:c r="E21" s="104" t="n">
        <x:v>1.448477</x:v>
      </x:c>
      <x:c r="F21" s="104" t="n">
        <x:v>1.456855</x:v>
      </x:c>
      <x:c r="G21" s="105" t="n">
        <x:f t="shared" si="0">AVERAGE(D21:F21)</x:f>
        <x:v>1.4597016666666667</x:v>
      </x:c>
      <x:c r="H21" s="105" t="n">
        <x:f t="shared" si="1">STDEV.S(D21:F21)</x:f>
        <x:v>0.012886021004690825</x:v>
      </x:c>
      <x:c r="I21" s="112" t="n">
        <x:v>2501326947</x:v>
      </x:c>
    </x:row>
    <x:row r="22" ht="38.099998474121094" customHeight="1">
      <x:c r="A22" s="85" t="str">
        <x:v>Merge Sort</x:v>
      </x:c>
      <x:c r="B22" s="86" t="str">
        <x:v>O(n log n)</x:v>
      </x:c>
      <x:c r="C22" s="100" t="n">
        <x:v>1000</x:v>
      </x:c>
      <x:c r="D22" s="104" t="n">
        <x:v>0.000055</x:v>
      </x:c>
      <x:c r="E22" s="104" t="n">
        <x:v>0.000047</x:v>
      </x:c>
      <x:c r="F22" s="104" t="n">
        <x:v>0.000042</x:v>
      </x:c>
      <x:c r="G22" s="105" t="n">
        <x:f t="shared" si="0">AVERAGE(D22:F22)</x:f>
        <x:v>0.000048</x:v>
      </x:c>
      <x:c r="H22" s="105" t="n">
        <x:f t="shared" si="1">STDEV.S(D22:F22)</x:f>
        <x:v>0.000006557438524302003</x:v>
      </x:c>
      <x:c r="I22" s="112" t="n">
        <x:v>19952</x:v>
      </x:c>
    </x:row>
    <x:row r="23" ht="38.099998474121094" customHeight="1">
      <x:c r="A23" s="85" t="str">
        <x:v>Merge Sort</x:v>
      </x:c>
      <x:c r="B23" s="86" t="str">
        <x:v>O(n log n)</x:v>
      </x:c>
      <x:c r="C23" s="100" t="n">
        <x:v>10000</x:v>
      </x:c>
      <x:c r="D23" s="104" t="n">
        <x:v>0.000694</x:v>
      </x:c>
      <x:c r="E23" s="104" t="n">
        <x:v>0.0007</x:v>
      </x:c>
      <x:c r="F23" s="104" t="n">
        <x:v>0.000669</x:v>
      </x:c>
      <x:c r="G23" s="105" t="n">
        <x:f t="shared" si="0">AVERAGE(D23:F23)</x:f>
        <x:v>0.0006876666666666666</x:v>
      </x:c>
      <x:c r="H23" s="105" t="n">
        <x:f t="shared" si="1">STDEV.S(D23:F23)</x:f>
        <x:v>0.000016441816606851354</x:v>
      </x:c>
      <x:c r="I23" s="112" t="n">
        <x:v>267232</x:v>
      </x:c>
    </x:row>
    <x:row r="24" ht="38.099998474121094" customHeight="1">
      <x:c r="A24" s="85" t="str">
        <x:v>Merge Sort</x:v>
      </x:c>
      <x:c r="B24" s="86" t="str">
        <x:v>O(n log n)</x:v>
      </x:c>
      <x:c r="C24" s="100" t="n">
        <x:v>100000</x:v>
      </x:c>
      <x:c r="D24" s="104" t="n">
        <x:v>0.008585</x:v>
      </x:c>
      <x:c r="E24" s="104" t="n">
        <x:v>0.008377</x:v>
      </x:c>
      <x:c r="F24" s="104" t="n">
        <x:v>0.008614</x:v>
      </x:c>
      <x:c r="G24" s="105" t="n">
        <x:f t="shared" si="0">AVERAGE(D24:F24)</x:f>
        <x:v>0.008525333333333334</x:v>
      </x:c>
      <x:c r="H24" s="105" t="n">
        <x:f t="shared" si="1">STDEV.S(D24:F24)</x:f>
        <x:v>0.0001292761901253795</x:v>
      </x:c>
      <x:c r="I24" s="112" t="n">
        <x:v>3337856</x:v>
      </x:c>
    </x:row>
    <x:row r="25" ht="38.099998474121094" customHeight="1">
      <x:c r="A25" s="85" t="str">
        <x:v>Quick Sort</x:v>
      </x:c>
      <x:c r="B25" s="86" t="str">
        <x:v>O(n log n) médio / O(n²) pior</x:v>
      </x:c>
      <x:c r="C25" s="100" t="n">
        <x:v>1000</x:v>
      </x:c>
      <x:c r="D25" s="104" t="n">
        <x:v>0.000045</x:v>
      </x:c>
      <x:c r="E25" s="104" t="n">
        <x:v>0.000037</x:v>
      </x:c>
      <x:c r="F25" s="104" t="n">
        <x:v>0.000031</x:v>
      </x:c>
      <x:c r="G25" s="105" t="n">
        <x:f t="shared" si="0">AVERAGE(D25:F25)</x:f>
        <x:v>0.00003766666666666667</x:v>
      </x:c>
      <x:c r="H25" s="105" t="n">
        <x:f t="shared" si="1">STDEV.S(D25:F25)</x:f>
        <x:v>0.000007023769168568494</x:v>
      </x:c>
      <x:c r="I25" s="112" t="n">
        <x:v>5113</x:v>
      </x:c>
    </x:row>
    <x:row r="26" ht="38.099998474121094" customHeight="1">
      <x:c r="A26" s="85" t="str">
        <x:v>Quick Sort</x:v>
      </x:c>
      <x:c r="B26" s="86" t="str">
        <x:v>O(n log n) médio / O(n²) pior</x:v>
      </x:c>
      <x:c r="C26" s="100" t="n">
        <x:v>10000</x:v>
      </x:c>
      <x:c r="D26" s="104" t="n">
        <x:v>0.000582</x:v>
      </x:c>
      <x:c r="E26" s="104" t="n">
        <x:v>0.00056</x:v>
      </x:c>
      <x:c r="F26" s="104" t="n">
        <x:v>0.000546</x:v>
      </x:c>
      <x:c r="G26" s="105" t="n">
        <x:f t="shared" si="0">AVERAGE(D26:F26)</x:f>
        <x:v>0.0005626666666666667</x:v>
      </x:c>
      <x:c r="H26" s="105" t="n">
        <x:f t="shared" si="1">STDEV.S(D26:F26)</x:f>
        <x:v>0.000018147543451754942</x:v>
      </x:c>
      <x:c r="I26" s="112" t="n">
        <x:v>73469</x:v>
      </x:c>
    </x:row>
    <x:row r="27" ht="38.099998474121094" customHeight="1">
      <x:c r="A27" s="90" t="str">
        <x:v>Quick Sort</x:v>
      </x:c>
      <x:c r="B27" s="91" t="str">
        <x:v>O(n log n) médio / O(n²) pior</x:v>
      </x:c>
      <x:c r="C27" s="101" t="n">
        <x:v>100000</x:v>
      </x:c>
      <x:c r="D27" s="106" t="n">
        <x:v>0.006705</x:v>
      </x:c>
      <x:c r="E27" s="106" t="n">
        <x:v>0.007198</x:v>
      </x:c>
      <x:c r="F27" s="106" t="n">
        <x:v>0.006559</x:v>
      </x:c>
      <x:c r="G27" s="105" t="n">
        <x:f t="shared" si="0">AVERAGE(D27:F27)</x:f>
        <x:v>0.006820666666666667</x:v>
      </x:c>
      <x:c r="H27" s="107" t="n">
        <x:f t="shared" si="1">STDEV.S(D27:F27)</x:f>
        <x:v>0.0003348347851304185</x:v>
      </x:c>
      <x:c r="I27" s="112" t="n">
        <x:v>885844</x:v>
      </x:c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 ht="50" customHeight="1">
      <x:c r="A29" s="96" t="str">
        <x:v>Observação metodológica: foram escolhidos Insertion Sort, Merge Sort e Quick Sort para comparar um algoritmo quadrático com algoritmos O(n log n) no caso médio. O Quick Sort tem O(n log n) no caso médio, mas O(n²) no pior caso; essa limitação foi registrada para deixar a análise coerente com a teoria.</x:v>
      </x:c>
      <x:c r="B29" s="97"/>
      <x:c r="C29" s="97"/>
      <x:c r="D29" s="97"/>
      <x:c r="E29" s="97"/>
      <x:c r="F29" s="97"/>
      <x:c r="G29" s="97"/>
      <x:c r="H29" s="97"/>
      <x:c r="I29" s="97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 ht="24" customHeight="1">
      <x:c r="A31" s="27" t="s">
        <x:v>17</x:v>
      </x:c>
      <x:c r="B31" s="27"/>
      <x:c r="C31" s="27"/>
      <x:c r="D31" s="27"/>
      <x:c r="E31" s="27"/>
      <x:c r="F31" s="27"/>
      <x:c r="G31" s="27"/>
      <x:c r="H31" s="27"/>
      <x:c r="I31" s="27"/>
    </x:row>
    <x:row r="32" ht="15" customHeight="1">
      <x:c r="A32" s="114" t="str">
        <x:v>Tamanho</x:v>
      </x:c>
      <x:c r="B32" s="64" t="str">
        <x:v>Insertion Sort</x:v>
      </x:c>
      <x:c r="C32" s="64" t="str">
        <x:v>Merge Sort</x:v>
      </x:c>
      <x:c r="D32" s="64" t="str">
        <x:v>Quick Sort</x:v>
      </x:c>
      <x:c r="E32" s="25"/>
      <x:c r="F32" s="25"/>
      <x:c r="G32" s="25"/>
      <x:c r="H32" s="25"/>
      <x:c r="I32" s="26"/>
    </x:row>
    <x:row r="33" ht="15" customHeight="1">
      <x:c r="A33" s="115" t="n">
        <x:v>1000</x:v>
      </x:c>
      <x:c r="B33" s="118" t="n">
        <x:v>0.00016299999999999998</x:v>
      </x:c>
      <x:c r="C33" s="118" t="n">
        <x:v>0.000048</x:v>
      </x:c>
      <x:c r="D33" s="118" t="n">
        <x:v>0.00003766666666666667</x:v>
      </x:c>
      <x:c r="E33" s="19"/>
      <x:c r="F33" s="19"/>
      <x:c r="G33" s="19"/>
      <x:c r="H33" s="19"/>
      <x:c r="I33" s="19"/>
    </x:row>
    <x:row r="34" ht="15" customHeight="1">
      <x:c r="A34" s="115" t="n">
        <x:v>10000</x:v>
      </x:c>
      <x:c r="B34" s="118" t="n">
        <x:v>0.014986</x:v>
      </x:c>
      <x:c r="C34" s="118" t="n">
        <x:v>0.0006876666666666666</x:v>
      </x:c>
      <x:c r="D34" s="118" t="n">
        <x:v>0.0005626666666666667</x:v>
      </x:c>
      <x:c r="E34" s="19"/>
      <x:c r="F34" s="19"/>
      <x:c r="G34" s="19"/>
      <x:c r="H34" s="19"/>
      <x:c r="I34" s="19"/>
    </x:row>
    <x:row r="35" ht="15" customHeight="1">
      <x:c r="A35" s="115" t="n">
        <x:v>100000</x:v>
      </x:c>
      <x:c r="B35" s="118" t="n">
        <x:v>1.4597016666666667</x:v>
      </x:c>
      <x:c r="C35" s="118" t="n">
        <x:v>0.008525333333333334</x:v>
      </x:c>
      <x:c r="D35" s="118" t="n">
        <x:v>0.006820666666666667</x:v>
      </x:c>
      <x:c r="E35" s="19"/>
      <x:c r="F35" s="19"/>
      <x:c r="G35" s="19"/>
      <x:c r="H35" s="19"/>
      <x:c r="I35" s="19"/>
    </x:row>
    <x:row r="36" ht="15" customHeight="1">
      <x:c r="A36" s="19"/>
      <x:c r="B36" s="19"/>
      <x:c r="C36" s="19"/>
      <x:c r="D36" s="19"/>
      <x:c r="E36" s="19"/>
      <x:c r="F36" s="19"/>
      <x:c r="G36" s="19"/>
      <x:c r="H36" s="19"/>
      <x:c r="I36" s="19"/>
    </x:row>
    <x:row r="37" ht="15" customHeight="1">
      <x:c r="A37" s="19"/>
      <x:c r="B37" s="19"/>
      <x:c r="C37" s="19"/>
      <x:c r="D37" s="19"/>
      <x:c r="E37" s="19"/>
      <x:c r="F37" s="19"/>
      <x:c r="G37" s="19"/>
      <x:c r="H37" s="19"/>
      <x:c r="I37" s="19"/>
    </x:row>
    <x:row r="38" ht="15" customHeight="1">
      <x:c r="A38" s="19"/>
      <x:c r="B38" s="19"/>
      <x:c r="C38" s="19"/>
      <x:c r="D38" s="19"/>
      <x:c r="E38" s="19"/>
      <x:c r="F38" s="19"/>
      <x:c r="G38" s="19"/>
      <x:c r="H38" s="19"/>
      <x:c r="I38" s="19"/>
    </x:row>
    <x:row r="39" ht="15" customHeight="1">
      <x:c r="A39" s="19"/>
      <x:c r="B39" s="19"/>
      <x:c r="C39" s="19"/>
      <x:c r="D39" s="19"/>
      <x:c r="E39" s="19"/>
      <x:c r="F39" s="19"/>
      <x:c r="G39" s="19"/>
      <x:c r="H39" s="19"/>
      <x:c r="I39" s="19"/>
    </x:row>
    <x:row r="40" ht="15" customHeight="1">
      <x:c r="A40" s="19"/>
      <x:c r="B40" s="19"/>
      <x:c r="C40" s="19"/>
      <x:c r="D40" s="19"/>
      <x:c r="E40" s="19"/>
      <x:c r="F40" s="19"/>
      <x:c r="G40" s="19"/>
      <x:c r="H40" s="19"/>
      <x:c r="I40" s="19"/>
    </x:row>
    <x:row r="41" ht="15" customHeight="1">
      <x:c r="A41" s="19"/>
      <x:c r="B41" s="19"/>
      <x:c r="C41" s="19"/>
      <x:c r="D41" s="19"/>
      <x:c r="E41" s="19"/>
      <x:c r="F41" s="19"/>
      <x:c r="G41" s="19"/>
      <x:c r="H41" s="19"/>
      <x:c r="I41" s="19"/>
    </x:row>
    <x:row r="42" ht="15" customHeight="1">
      <x:c r="A42" s="19"/>
      <x:c r="B42" s="19"/>
      <x:c r="C42" s="19"/>
      <x:c r="D42" s="19"/>
      <x:c r="E42" s="19"/>
      <x:c r="F42" s="19"/>
      <x:c r="G42" s="19"/>
      <x:c r="H42" s="19"/>
      <x:c r="I42" s="19"/>
    </x:row>
    <x:row r="43" ht="15" customHeight="1">
      <x:c r="A43" s="19"/>
      <x:c r="B43" s="19"/>
      <x:c r="C43" s="19"/>
      <x:c r="D43" s="19"/>
      <x:c r="E43" s="19"/>
      <x:c r="F43" s="19"/>
      <x:c r="G43" s="19"/>
      <x:c r="H43" s="19"/>
      <x:c r="I43" s="19"/>
    </x:row>
    <x:row r="44" ht="15" customHeight="1">
      <x:c r="A44" s="19"/>
      <x:c r="B44" s="19"/>
      <x:c r="C44" s="19"/>
      <x:c r="D44" s="19"/>
      <x:c r="E44" s="19"/>
      <x:c r="F44" s="19"/>
      <x:c r="G44" s="19"/>
      <x:c r="H44" s="19"/>
      <x:c r="I44" s="19"/>
    </x:row>
    <x:row r="45" ht="15" customHeight="1">
      <x:c r="A45" s="19"/>
      <x:c r="B45" s="19"/>
      <x:c r="C45" s="19"/>
      <x:c r="D45" s="19"/>
      <x:c r="E45" s="19"/>
      <x:c r="F45" s="19"/>
      <x:c r="G45" s="19"/>
      <x:c r="H45" s="19"/>
      <x:c r="I45" s="19"/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19"/>
    </x:row>
    <x:row r="47" ht="24" customHeight="1">
      <x:c r="A47" s="27" t="s">
        <x:v>18</x:v>
      </x:c>
      <x:c r="B47" s="27"/>
      <x:c r="C47" s="27"/>
      <x:c r="D47" s="27"/>
      <x:c r="E47" s="27"/>
      <x:c r="F47" s="27"/>
      <x:c r="G47" s="27"/>
      <x:c r="H47" s="27"/>
      <x:c r="I47" s="27"/>
    </x:row>
    <x:row r="48">
      <x:c r="A48" s="69" t="s">
        <x:v>19</x:v>
      </x:c>
      <x:c r="B48" s="77" t="s">
        <x:v>20</x:v>
      </x:c>
      <x:c r="C48" s="28"/>
      <x:c r="D48" s="28"/>
      <x:c r="E48" s="28"/>
      <x:c r="F48" s="28"/>
      <x:c r="G48" s="28"/>
      <x:c r="H48" s="28"/>
      <x:c r="I48" s="28"/>
    </x:row>
    <x:row r="49" ht="58" customHeight="1">
      <x:c r="A49" s="92" t="str">
        <x:v>Os tempos obtidos ficaram coerentes com a complexidade teórica dos algoritmos? Explique.</x:v>
      </x:c>
      <x:c r="B49" s="93" t="str">
        <x:v>Sim. O Insertion Sort apresentou crescimento muito maior quando o tamanho do vetor aumentou, o que é coerente com O(n²). Já Merge Sort e Quick Sort cresceram de forma bem mais controlada, compatível com O(n log n) no caso médio. Para 100.000 elementos, a diferença ficou evidente: Insertion Sort ficou na casa de segundos, enquanto Merge Sort e Quick Sort ficaram na casa de milissegundos.</x:v>
      </x:c>
      <x:c r="C49" s="23"/>
      <x:c r="D49" s="23"/>
      <x:c r="E49" s="23"/>
      <x:c r="F49" s="23"/>
      <x:c r="G49" s="23"/>
      <x:c r="H49" s="23"/>
      <x:c r="I49" s="23"/>
    </x:row>
    <x:row r="50" ht="58" customHeight="1">
      <x:c r="A50" s="92" t="str">
        <x:v>A quantidade de trocas/movimentações acompanhou o crescimento do tempo de execução? Explique.</x:v>
      </x:c>
      <x:c r="B50" s="93" t="str">
        <x:v>Sim. O Insertion Sort realizou muito mais movimentações conforme o vetor cresceu, chegando a mais de 2,5 bilhões de movimentações em 100.000 elementos, o que explica o maior tempo. Merge Sort também aumentou as movimentações, mas em escala menor, próxima de n log n. Quick Sort teve menos trocas neste conjunto de testes e, por isso, também apresentou tempos menores.</x:v>
      </x:c>
      <x:c r="C50" s="23"/>
      <x:c r="D50" s="23"/>
      <x:c r="E50" s="23"/>
      <x:c r="F50" s="23"/>
      <x:c r="G50" s="23"/>
      <x:c r="H50" s="23"/>
      <x:c r="I50" s="23"/>
    </x:row>
    <x:row r="51" ht="58" customHeight="1">
      <x:c r="A51" s="92" t="str">
        <x:v>Qual algoritmo apresentou o melhor  e o pior desempenho nos testes realizados?</x:v>
      </x:c>
      <x:c r="B51" s="93" t="str">
        <x:v>O melhor desempenho geral foi do Quick Sort, que teve o menor tempo médio nos três tamanhos testados. O pior desempenho foi do Insertion Sort, principalmente no vetor de 100.000 elementos, por causa de sua complexidade quadrática e da grande quantidade de movimentações.</x:v>
      </x:c>
      <x:c r="C51" s="23"/>
      <x:c r="D51" s="23"/>
      <x:c r="E51" s="23"/>
      <x:c r="F51" s="23"/>
      <x:c r="G51" s="23"/>
      <x:c r="H51" s="23"/>
      <x:c r="I51" s="23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</x:row>
  </x:sheetData>
  <x:mergeCells>
    <x:mergeCell ref="A1:I1"/>
    <x:mergeCell ref="A2:I2"/>
    <x:mergeCell ref="A3:I3"/>
    <x:mergeCell ref="A4:I5"/>
    <x:mergeCell ref="B51:I51"/>
    <x:mergeCell ref="A17:I17"/>
    <x:mergeCell ref="A31:I31"/>
    <x:mergeCell ref="B14:I14"/>
    <x:mergeCell ref="B15:I15"/>
    <x:mergeCell ref="A29:I29"/>
    <x:mergeCell ref="B10:I10"/>
    <x:mergeCell ref="B11:I11"/>
    <x:mergeCell ref="B12:I12"/>
    <x:mergeCell ref="B13:I13"/>
    <x:mergeCell ref="A7:I7"/>
    <x:mergeCell ref="B8:I8"/>
    <x:mergeCell ref="B9:I9"/>
    <x:mergeCell ref="A32:I32"/>
    <x:mergeCell ref="A47:I47"/>
    <x:mergeCell ref="B48:I48"/>
    <x:mergeCell ref="B49:I49"/>
    <x:mergeCell ref="B50:I50"/>
  </x:mergeCells>
  <x:dataValidations count="4">
    <x:dataValidation type="list" sqref="A19:A27">
      <x:formula1>"Bubble Sort,Insertion Sort,Selection Sort,Merge Sort,Quick Sort,Heap Sort"</x:formula1>
    </x:dataValidation>
    <x:dataValidation type="list" sqref="B19:B27">
      <x:formula1>"O(n log n),O(n²),"</x:formula1>
    </x:dataValidation>
    <x:dataValidation showDropDown="1" sqref="I19:I27"/>
    <x:dataValidation sqref="D19:H27"/>
  </x:dataValidations>
  <x:pageMargins left="0.7" right="0.7" top="0.75" bottom="0.75" header="0.3" footer="0.3"/>
  <x:drawing xmlns:r="http://schemas.openxmlformats.org/officeDocument/2006/relationships" r:id="Rea03d32211424b14"/>
  <x:tableParts count="1">
    <x:tablePart xmlns:r="http://schemas.openxmlformats.org/officeDocument/2006/relationships" r:id="R0100c65e4e82406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0" hidden="0" customWidth="1"/>
    <x:col min="4" max="4" width="12" hidden="0" customWidth="1"/>
    <x:col min="5" max="5" width="22" hidden="0" customWidth="1"/>
  </x:cols>
  <x:sheetData>
    <x:row r="1">
      <x:c r="A1" s="123" t="str">
        <x:v>Algoritmo</x:v>
      </x:c>
      <x:c r="B1" s="123" t="str">
        <x:v>Tamanho do vetor</x:v>
      </x:c>
      <x:c r="C1" s="123" t="str">
        <x:v>Execução</x:v>
      </x:c>
      <x:c r="D1" s="123" t="str">
        <x:v>Tempo (s)</x:v>
      </x:c>
      <x:c r="E1" s="123" t="str">
        <x:v>Trocas/movimentações</x:v>
      </x:c>
    </x:row>
    <x:row r="2">
      <x:c r="A2" s="128" t="str">
        <x:v>Insertion Sort</x:v>
      </x:c>
      <x:c r="B2" s="128" t="n">
        <x:v>1000</x:v>
      </x:c>
      <x:c r="C2" s="128" t="n">
        <x:v>1</x:v>
      </x:c>
      <x:c r="D2" s="130" t="n">
        <x:v>0.00017</x:v>
      </x:c>
      <x:c r="E2" s="134" t="n">
        <x:v>248618</x:v>
      </x:c>
    </x:row>
    <x:row r="3">
      <x:c r="A3" s="128" t="str">
        <x:v>Insertion Sort</x:v>
      </x:c>
      <x:c r="B3" s="128" t="n">
        <x:v>1000</x:v>
      </x:c>
      <x:c r="C3" s="128" t="n">
        <x:v>2</x:v>
      </x:c>
      <x:c r="D3" s="130" t="n">
        <x:v>0.000169</x:v>
      </x:c>
      <x:c r="E3" s="134" t="n">
        <x:v>248618</x:v>
      </x:c>
    </x:row>
    <x:row r="4">
      <x:c r="A4" s="128" t="str">
        <x:v>Insertion Sort</x:v>
      </x:c>
      <x:c r="B4" s="128" t="n">
        <x:v>1000</x:v>
      </x:c>
      <x:c r="C4" s="128" t="n">
        <x:v>3</x:v>
      </x:c>
      <x:c r="D4" s="130" t="n">
        <x:v>0.00015</x:v>
      </x:c>
      <x:c r="E4" s="134" t="n">
        <x:v>248618</x:v>
      </x:c>
    </x:row>
    <x:row r="5">
      <x:c r="A5" s="128" t="str">
        <x:v>Merge Sort</x:v>
      </x:c>
      <x:c r="B5" s="128" t="n">
        <x:v>1000</x:v>
      </x:c>
      <x:c r="C5" s="128" t="n">
        <x:v>1</x:v>
      </x:c>
      <x:c r="D5" s="130" t="n">
        <x:v>0.000055</x:v>
      </x:c>
      <x:c r="E5" s="134" t="n">
        <x:v>19952</x:v>
      </x:c>
    </x:row>
    <x:row r="6">
      <x:c r="A6" s="128" t="str">
        <x:v>Merge Sort</x:v>
      </x:c>
      <x:c r="B6" s="128" t="n">
        <x:v>1000</x:v>
      </x:c>
      <x:c r="C6" s="128" t="n">
        <x:v>2</x:v>
      </x:c>
      <x:c r="D6" s="130" t="n">
        <x:v>0.000047</x:v>
      </x:c>
      <x:c r="E6" s="134" t="n">
        <x:v>19952</x:v>
      </x:c>
    </x:row>
    <x:row r="7">
      <x:c r="A7" s="128" t="str">
        <x:v>Merge Sort</x:v>
      </x:c>
      <x:c r="B7" s="128" t="n">
        <x:v>1000</x:v>
      </x:c>
      <x:c r="C7" s="128" t="n">
        <x:v>3</x:v>
      </x:c>
      <x:c r="D7" s="130" t="n">
        <x:v>0.000042</x:v>
      </x:c>
      <x:c r="E7" s="134" t="n">
        <x:v>19952</x:v>
      </x:c>
    </x:row>
    <x:row r="8">
      <x:c r="A8" s="128" t="str">
        <x:v>Quick Sort</x:v>
      </x:c>
      <x:c r="B8" s="128" t="n">
        <x:v>1000</x:v>
      </x:c>
      <x:c r="C8" s="128" t="n">
        <x:v>1</x:v>
      </x:c>
      <x:c r="D8" s="130" t="n">
        <x:v>0.000045</x:v>
      </x:c>
      <x:c r="E8" s="134" t="n">
        <x:v>5113</x:v>
      </x:c>
    </x:row>
    <x:row r="9">
      <x:c r="A9" s="128" t="str">
        <x:v>Quick Sort</x:v>
      </x:c>
      <x:c r="B9" s="128" t="n">
        <x:v>1000</x:v>
      </x:c>
      <x:c r="C9" s="128" t="n">
        <x:v>2</x:v>
      </x:c>
      <x:c r="D9" s="130" t="n">
        <x:v>0.000037</x:v>
      </x:c>
      <x:c r="E9" s="134" t="n">
        <x:v>5113</x:v>
      </x:c>
    </x:row>
    <x:row r="10">
      <x:c r="A10" s="128" t="str">
        <x:v>Quick Sort</x:v>
      </x:c>
      <x:c r="B10" s="128" t="n">
        <x:v>1000</x:v>
      </x:c>
      <x:c r="C10" s="128" t="n">
        <x:v>3</x:v>
      </x:c>
      <x:c r="D10" s="130" t="n">
        <x:v>0.000031</x:v>
      </x:c>
      <x:c r="E10" s="134" t="n">
        <x:v>5113</x:v>
      </x:c>
    </x:row>
    <x:row r="11">
      <x:c r="A11" s="128" t="str">
        <x:v>Insertion Sort</x:v>
      </x:c>
      <x:c r="B11" s="128" t="n">
        <x:v>10000</x:v>
      </x:c>
      <x:c r="C11" s="128" t="n">
        <x:v>1</x:v>
      </x:c>
      <x:c r="D11" s="130" t="n">
        <x:v>0.014666</x:v>
      </x:c>
      <x:c r="E11" s="134" t="n">
        <x:v>25115476</x:v>
      </x:c>
    </x:row>
    <x:row r="12">
      <x:c r="A12" s="128" t="str">
        <x:v>Insertion Sort</x:v>
      </x:c>
      <x:c r="B12" s="128" t="n">
        <x:v>10000</x:v>
      </x:c>
      <x:c r="C12" s="128" t="n">
        <x:v>2</x:v>
      </x:c>
      <x:c r="D12" s="130" t="n">
        <x:v>0.015074</x:v>
      </x:c>
      <x:c r="E12" s="134" t="n">
        <x:v>25115476</x:v>
      </x:c>
    </x:row>
    <x:row r="13">
      <x:c r="A13" s="128" t="str">
        <x:v>Insertion Sort</x:v>
      </x:c>
      <x:c r="B13" s="128" t="n">
        <x:v>10000</x:v>
      </x:c>
      <x:c r="C13" s="128" t="n">
        <x:v>3</x:v>
      </x:c>
      <x:c r="D13" s="130" t="n">
        <x:v>0.015218</x:v>
      </x:c>
      <x:c r="E13" s="134" t="n">
        <x:v>25115476</x:v>
      </x:c>
    </x:row>
    <x:row r="14">
      <x:c r="A14" s="128" t="str">
        <x:v>Merge Sort</x:v>
      </x:c>
      <x:c r="B14" s="128" t="n">
        <x:v>10000</x:v>
      </x:c>
      <x:c r="C14" s="128" t="n">
        <x:v>1</x:v>
      </x:c>
      <x:c r="D14" s="130" t="n">
        <x:v>0.000694</x:v>
      </x:c>
      <x:c r="E14" s="134" t="n">
        <x:v>267232</x:v>
      </x:c>
    </x:row>
    <x:row r="15">
      <x:c r="A15" s="128" t="str">
        <x:v>Merge Sort</x:v>
      </x:c>
      <x:c r="B15" s="128" t="n">
        <x:v>10000</x:v>
      </x:c>
      <x:c r="C15" s="128" t="n">
        <x:v>2</x:v>
      </x:c>
      <x:c r="D15" s="130" t="n">
        <x:v>0.0007</x:v>
      </x:c>
      <x:c r="E15" s="134" t="n">
        <x:v>267232</x:v>
      </x:c>
    </x:row>
    <x:row r="16">
      <x:c r="A16" s="128" t="str">
        <x:v>Merge Sort</x:v>
      </x:c>
      <x:c r="B16" s="128" t="n">
        <x:v>10000</x:v>
      </x:c>
      <x:c r="C16" s="128" t="n">
        <x:v>3</x:v>
      </x:c>
      <x:c r="D16" s="130" t="n">
        <x:v>0.000669</x:v>
      </x:c>
      <x:c r="E16" s="134" t="n">
        <x:v>267232</x:v>
      </x:c>
    </x:row>
    <x:row r="17">
      <x:c r="A17" s="128" t="str">
        <x:v>Quick Sort</x:v>
      </x:c>
      <x:c r="B17" s="128" t="n">
        <x:v>10000</x:v>
      </x:c>
      <x:c r="C17" s="128" t="n">
        <x:v>1</x:v>
      </x:c>
      <x:c r="D17" s="130" t="n">
        <x:v>0.000582</x:v>
      </x:c>
      <x:c r="E17" s="134" t="n">
        <x:v>73469</x:v>
      </x:c>
    </x:row>
    <x:row r="18">
      <x:c r="A18" s="128" t="str">
        <x:v>Quick Sort</x:v>
      </x:c>
      <x:c r="B18" s="128" t="n">
        <x:v>10000</x:v>
      </x:c>
      <x:c r="C18" s="128" t="n">
        <x:v>2</x:v>
      </x:c>
      <x:c r="D18" s="130" t="n">
        <x:v>0.00056</x:v>
      </x:c>
      <x:c r="E18" s="134" t="n">
        <x:v>73469</x:v>
      </x:c>
    </x:row>
    <x:row r="19">
      <x:c r="A19" s="128" t="str">
        <x:v>Quick Sort</x:v>
      </x:c>
      <x:c r="B19" s="128" t="n">
        <x:v>10000</x:v>
      </x:c>
      <x:c r="C19" s="128" t="n">
        <x:v>3</x:v>
      </x:c>
      <x:c r="D19" s="130" t="n">
        <x:v>0.000546</x:v>
      </x:c>
      <x:c r="E19" s="134" t="n">
        <x:v>73469</x:v>
      </x:c>
    </x:row>
    <x:row r="20">
      <x:c r="A20" s="128" t="str">
        <x:v>Insertion Sort</x:v>
      </x:c>
      <x:c r="B20" s="128" t="n">
        <x:v>100000</x:v>
      </x:c>
      <x:c r="C20" s="128" t="n">
        <x:v>1</x:v>
      </x:c>
      <x:c r="D20" s="130" t="n">
        <x:v>1.473773</x:v>
      </x:c>
      <x:c r="E20" s="134" t="n">
        <x:v>2501326947</x:v>
      </x:c>
    </x:row>
    <x:row r="21">
      <x:c r="A21" s="128" t="str">
        <x:v>Insertion Sort</x:v>
      </x:c>
      <x:c r="B21" s="128" t="n">
        <x:v>100000</x:v>
      </x:c>
      <x:c r="C21" s="128" t="n">
        <x:v>2</x:v>
      </x:c>
      <x:c r="D21" s="130" t="n">
        <x:v>1.448477</x:v>
      </x:c>
      <x:c r="E21" s="134" t="n">
        <x:v>2501326947</x:v>
      </x:c>
    </x:row>
    <x:row r="22">
      <x:c r="A22" s="128" t="str">
        <x:v>Insertion Sort</x:v>
      </x:c>
      <x:c r="B22" s="128" t="n">
        <x:v>100000</x:v>
      </x:c>
      <x:c r="C22" s="128" t="n">
        <x:v>3</x:v>
      </x:c>
      <x:c r="D22" s="130" t="n">
        <x:v>1.456855</x:v>
      </x:c>
      <x:c r="E22" s="134" t="n">
        <x:v>2501326947</x:v>
      </x:c>
    </x:row>
    <x:row r="23">
      <x:c r="A23" s="128" t="str">
        <x:v>Merge Sort</x:v>
      </x:c>
      <x:c r="B23" s="128" t="n">
        <x:v>100000</x:v>
      </x:c>
      <x:c r="C23" s="128" t="n">
        <x:v>1</x:v>
      </x:c>
      <x:c r="D23" s="130" t="n">
        <x:v>0.008585</x:v>
      </x:c>
      <x:c r="E23" s="134" t="n">
        <x:v>3337856</x:v>
      </x:c>
    </x:row>
    <x:row r="24">
      <x:c r="A24" s="128" t="str">
        <x:v>Merge Sort</x:v>
      </x:c>
      <x:c r="B24" s="128" t="n">
        <x:v>100000</x:v>
      </x:c>
      <x:c r="C24" s="128" t="n">
        <x:v>2</x:v>
      </x:c>
      <x:c r="D24" s="130" t="n">
        <x:v>0.008377</x:v>
      </x:c>
      <x:c r="E24" s="134" t="n">
        <x:v>3337856</x:v>
      </x:c>
    </x:row>
    <x:row r="25">
      <x:c r="A25" s="128" t="str">
        <x:v>Merge Sort</x:v>
      </x:c>
      <x:c r="B25" s="128" t="n">
        <x:v>100000</x:v>
      </x:c>
      <x:c r="C25" s="128" t="n">
        <x:v>3</x:v>
      </x:c>
      <x:c r="D25" s="130" t="n">
        <x:v>0.008614</x:v>
      </x:c>
      <x:c r="E25" s="134" t="n">
        <x:v>3337856</x:v>
      </x:c>
    </x:row>
    <x:row r="26">
      <x:c r="A26" s="128" t="str">
        <x:v>Quick Sort</x:v>
      </x:c>
      <x:c r="B26" s="128" t="n">
        <x:v>100000</x:v>
      </x:c>
      <x:c r="C26" s="128" t="n">
        <x:v>1</x:v>
      </x:c>
      <x:c r="D26" s="130" t="n">
        <x:v>0.006705</x:v>
      </x:c>
      <x:c r="E26" s="134" t="n">
        <x:v>885844</x:v>
      </x:c>
    </x:row>
    <x:row r="27">
      <x:c r="A27" s="128" t="str">
        <x:v>Quick Sort</x:v>
      </x:c>
      <x:c r="B27" s="128" t="n">
        <x:v>100000</x:v>
      </x:c>
      <x:c r="C27" s="128" t="n">
        <x:v>2</x:v>
      </x:c>
      <x:c r="D27" s="130" t="n">
        <x:v>0.007198</x:v>
      </x:c>
      <x:c r="E27" s="134" t="n">
        <x:v>885844</x:v>
      </x:c>
    </x:row>
    <x:row r="28">
      <x:c r="A28" s="128" t="str">
        <x:v>Quick Sort</x:v>
      </x:c>
      <x:c r="B28" s="128" t="n">
        <x:v>100000</x:v>
      </x:c>
      <x:c r="C28" s="128" t="n">
        <x:v>3</x:v>
      </x:c>
      <x:c r="D28" s="130" t="n">
        <x:v>0.006559</x:v>
      </x:c>
      <x:c r="E28" s="134" t="n">
        <x:v>885844</x:v>
      </x:c>
    </x:row>
    <x:row r="29">
      <x:c r="D29" s="131"/>
      <x:c r="E29" s="135"/>
    </x:row>
    <x:row r="30">
      <x:c r="D30" s="131"/>
      <x:c r="E30" s="135"/>
    </x:row>
    <x:row r="31">
      <x:c r="D31" s="131"/>
      <x:c r="E31" s="135"/>
    </x:row>
    <x:row r="32">
      <x:c r="D32" s="131"/>
      <x:c r="E32" s="135"/>
    </x:row>
    <x:row r="33">
      <x:c r="D33" s="131"/>
      <x:c r="E33" s="135"/>
    </x:row>
    <x:row r="34">
      <x:c r="D34" s="131"/>
      <x:c r="E34" s="135"/>
    </x:row>
    <x:row r="35">
      <x:c r="D35" s="131"/>
      <x:c r="E35" s="135"/>
    </x:row>
    <x:row r="36">
      <x:c r="D36" s="131"/>
      <x:c r="E36" s="135"/>
    </x:row>
    <x:row r="37">
      <x:c r="D37" s="131"/>
      <x:c r="E37" s="135"/>
    </x:row>
    <x:row r="38">
      <x:c r="D38" s="131"/>
      <x:c r="E38" s="135"/>
    </x:row>
    <x:row r="39">
      <x:c r="D39" s="131"/>
      <x:c r="E39" s="135"/>
    </x:row>
    <x:row r="40">
      <x:c r="D40" s="131"/>
      <x:c r="E40" s="135"/>
    </x:row>
    <x:row r="41">
      <x:c r="D41" s="131"/>
      <x:c r="E41" s="135"/>
    </x:row>
    <x:row r="42">
      <x:c r="D42" s="131"/>
      <x:c r="E42" s="135"/>
    </x:row>
    <x:row r="43">
      <x:c r="D43" s="131"/>
      <x:c r="E43" s="135"/>
    </x:row>
    <x:row r="44">
      <x:c r="D44" s="131"/>
      <x:c r="E44" s="135"/>
    </x:row>
    <x:row r="45">
      <x:c r="D45" s="131"/>
      <x:c r="E45" s="135"/>
    </x:row>
    <x:row r="46">
      <x:c r="D46" s="131"/>
      <x:c r="E46" s="135"/>
    </x:row>
    <x:row r="47">
      <x:c r="D47" s="131"/>
      <x:c r="E47" s="135"/>
    </x:row>
    <x:row r="48">
      <x:c r="D48" s="131"/>
      <x:c r="E48" s="135"/>
    </x:row>
    <x:row r="49">
      <x:c r="D49" s="131"/>
      <x:c r="E49" s="135"/>
    </x:row>
    <x:row r="50">
      <x:c r="D50" s="131"/>
      <x:c r="E50" s="135"/>
    </x:row>
    <x:row r="51">
      <x:c r="D51" s="131"/>
      <x:c r="E51" s="135"/>
    </x:row>
    <x:row r="52">
      <x:c r="D52" s="131"/>
      <x:c r="E52" s="135"/>
    </x:row>
    <x:row r="53">
      <x:c r="D53" s="131"/>
      <x:c r="E53" s="135"/>
    </x:row>
    <x:row r="54">
      <x:c r="D54" s="131"/>
      <x:c r="E54" s="135"/>
    </x:row>
    <x:row r="55">
      <x:c r="D55" s="131"/>
      <x:c r="E55" s="135"/>
    </x:row>
    <x:row r="56">
      <x:c r="D56" s="131"/>
      <x:c r="E56" s="135"/>
    </x:row>
    <x:row r="57">
      <x:c r="D57" s="131"/>
      <x:c r="E57" s="135"/>
    </x:row>
    <x:row r="58">
      <x:c r="D58" s="131"/>
      <x:c r="E58" s="135"/>
    </x:row>
    <x:row r="59">
      <x:c r="D59" s="131"/>
      <x:c r="E59" s="135"/>
    </x:row>
    <x:row r="60">
      <x:c r="D60" s="131"/>
      <x:c r="E60" s="135"/>
    </x:row>
    <x:row r="61">
      <x:c r="D61" s="131"/>
      <x:c r="E61" s="135"/>
    </x:row>
    <x:row r="62">
      <x:c r="D62" s="131"/>
      <x:c r="E62" s="135"/>
    </x:row>
    <x:row r="63">
      <x:c r="D63" s="131"/>
      <x:c r="E63" s="135"/>
    </x:row>
    <x:row r="64">
      <x:c r="D64" s="131"/>
      <x:c r="E64" s="135"/>
    </x:row>
    <x:row r="65">
      <x:c r="D65" s="131"/>
      <x:c r="E65" s="135"/>
    </x:row>
    <x:row r="66">
      <x:c r="D66" s="131"/>
      <x:c r="E66" s="135"/>
    </x:row>
    <x:row r="67">
      <x:c r="D67" s="131"/>
      <x:c r="E67" s="135"/>
    </x:row>
    <x:row r="68">
      <x:c r="D68" s="131"/>
      <x:c r="E68" s="135"/>
    </x:row>
    <x:row r="69">
      <x:c r="D69" s="131"/>
      <x:c r="E69" s="135"/>
    </x:row>
    <x:row r="70">
      <x:c r="D70" s="131"/>
      <x:c r="E70" s="135"/>
    </x:row>
    <x:row r="71">
      <x:c r="D71" s="131"/>
      <x:c r="E71" s="135"/>
    </x:row>
    <x:row r="72">
      <x:c r="D72" s="131"/>
      <x:c r="E72" s="135"/>
    </x:row>
    <x:row r="73">
      <x:c r="D73" s="131"/>
      <x:c r="E73" s="135"/>
    </x:row>
    <x:row r="74">
      <x:c r="D74" s="131"/>
      <x:c r="E74" s="135"/>
    </x:row>
    <x:row r="75">
      <x:c r="D75" s="131"/>
      <x:c r="E75" s="135"/>
    </x:row>
    <x:row r="76">
      <x:c r="D76" s="131"/>
      <x:c r="E76" s="135"/>
    </x:row>
    <x:row r="77">
      <x:c r="D77" s="131"/>
      <x:c r="E77" s="135"/>
    </x:row>
    <x:row r="78">
      <x:c r="D78" s="131"/>
      <x:c r="E78" s="135"/>
    </x:row>
    <x:row r="79">
      <x:c r="D79" s="131"/>
      <x:c r="E79" s="135"/>
    </x:row>
    <x:row r="80">
      <x:c r="D80" s="131"/>
      <x:c r="E80" s="135"/>
    </x:row>
    <x:row r="81">
      <x:c r="D81" s="131"/>
      <x:c r="E81" s="135"/>
    </x:row>
    <x:row r="82">
      <x:c r="D82" s="131"/>
      <x:c r="E82" s="135"/>
    </x:row>
    <x:row r="83">
      <x:c r="D83" s="131"/>
      <x:c r="E83" s="135"/>
    </x:row>
    <x:row r="84">
      <x:c r="D84" s="131"/>
      <x:c r="E84" s="135"/>
    </x:row>
    <x:row r="85">
      <x:c r="D85" s="131"/>
      <x:c r="E85" s="135"/>
    </x:row>
    <x:row r="86">
      <x:c r="D86" s="131"/>
      <x:c r="E86" s="135"/>
    </x:row>
    <x:row r="87">
      <x:c r="D87" s="131"/>
      <x:c r="E87" s="135"/>
    </x:row>
    <x:row r="88">
      <x:c r="D88" s="131"/>
      <x:c r="E88" s="135"/>
    </x:row>
    <x:row r="89">
      <x:c r="D89" s="131"/>
      <x:c r="E89" s="135"/>
    </x:row>
    <x:row r="90">
      <x:c r="D90" s="131"/>
      <x:c r="E90" s="135"/>
    </x:row>
    <x:row r="91">
      <x:c r="D91" s="131"/>
      <x:c r="E91" s="135"/>
    </x:row>
    <x:row r="92">
      <x:c r="D92" s="131"/>
      <x:c r="E92" s="135"/>
    </x:row>
    <x:row r="93">
      <x:c r="D93" s="131"/>
      <x:c r="E93" s="135"/>
    </x:row>
    <x:row r="94">
      <x:c r="D94" s="131"/>
      <x:c r="E94" s="135"/>
    </x:row>
    <x:row r="95">
      <x:c r="D95" s="131"/>
      <x:c r="E95" s="135"/>
    </x:row>
    <x:row r="96">
      <x:c r="D96" s="131"/>
      <x:c r="E96" s="135"/>
    </x:row>
    <x:row r="97">
      <x:c r="D97" s="131"/>
      <x:c r="E97" s="135"/>
    </x:row>
    <x:row r="98">
      <x:c r="D98" s="131"/>
      <x:c r="E98" s="135"/>
    </x:row>
    <x:row r="99">
      <x:c r="D99" s="131"/>
      <x:c r="E99" s="135"/>
    </x:row>
    <x:row r="100">
      <x:c r="D100" s="131"/>
      <x:c r="E100" s="135"/>
    </x:row>
  </x:sheetData>
  <x:pageMargins left="0.7" right="0.7" top="0.75" bottom="0.75" header="0.3" footer="0.3"/>
  <x:tableParts count="1">
    <x:tablePart xmlns:r="http://schemas.openxmlformats.org/officeDocument/2006/relationships" r:id="Racfc403cbaee41b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0" hidden="0" customWidth="1"/>
  </x:cols>
  <x:sheetData>
    <x:row r="1">
      <x:c r="A1" s="123" t="str">
        <x:v>Linha</x:v>
      </x:c>
      <x:c r="B1" s="123" t="str">
        <x:v>Código C++17 usado no experimento</x:v>
      </x:c>
    </x:row>
    <x:row r="2">
      <x:c r="A2" t="n">
        <x:v>1</x:v>
      </x:c>
      <x:c r="B2" s="138" t="str">
        <x:v>#include &lt;bits/stdc++.h&gt;</x:v>
      </x:c>
    </x:row>
    <x:row r="3">
      <x:c r="A3" t="n">
        <x:v>2</x:v>
      </x:c>
      <x:c r="B3" s="138" t="str">
        <x:v>using namespace std;</x:v>
      </x:c>
    </x:row>
    <x:row r="4">
      <x:c r="A4" t="n">
        <x:v>3</x:v>
      </x:c>
      <x:c r="B4" s="138" t="str"/>
    </x:row>
    <x:row r="5">
      <x:c r="A5" t="n">
        <x:v>4</x:v>
      </x:c>
      <x:c r="B5" s="138" t="str">
        <x:v>struct Result {</x:v>
      </x:c>
    </x:row>
    <x:row r="6">
      <x:c r="A6" t="n">
        <x:v>5</x:v>
      </x:c>
      <x:c r="B6" s="138" t="str">
        <x:v>    double seconds;</x:v>
      </x:c>
    </x:row>
    <x:row r="7">
      <x:c r="A7" t="n">
        <x:v>6</x:v>
      </x:c>
      <x:c r="B7" s="138" t="str">
        <x:v>    unsigned long long operations;</x:v>
      </x:c>
    </x:row>
    <x:row r="8">
      <x:c r="A8" t="n">
        <x:v>7</x:v>
      </x:c>
      <x:c r="B8" s="138" t="str">
        <x:v>};</x:v>
      </x:c>
    </x:row>
    <x:row r="9">
      <x:c r="A9" t="n">
        <x:v>8</x:v>
      </x:c>
      <x:c r="B9" s="138" t="str"/>
    </x:row>
    <x:row r="10">
      <x:c r="A10" t="n">
        <x:v>9</x:v>
      </x:c>
      <x:c r="B10" s="138" t="str">
        <x:v>static inline void counted_swap(vector&lt;int&gt;&amp; a, int i, int j, unsigned long long &amp;swaps) {</x:v>
      </x:c>
    </x:row>
    <x:row r="11">
      <x:c r="A11" t="n">
        <x:v>10</x:v>
      </x:c>
      <x:c r="B11" s="138" t="str">
        <x:v>    if (i != j) {</x:v>
      </x:c>
    </x:row>
    <x:row r="12">
      <x:c r="A12" t="n">
        <x:v>11</x:v>
      </x:c>
      <x:c r="B12" s="138" t="str">
        <x:v>        std::swap(a[i], a[j]);</x:v>
      </x:c>
    </x:row>
    <x:row r="13">
      <x:c r="A13" t="n">
        <x:v>12</x:v>
      </x:c>
      <x:c r="B13" s="138" t="str">
        <x:v>        swaps++;</x:v>
      </x:c>
    </x:row>
    <x:row r="14">
      <x:c r="A14" t="n">
        <x:v>13</x:v>
      </x:c>
      <x:c r="B14" s="138" t="str">
        <x:v>    }</x:v>
      </x:c>
    </x:row>
    <x:row r="15">
      <x:c r="A15" t="n">
        <x:v>14</x:v>
      </x:c>
      <x:c r="B15" s="138" t="str">
        <x:v>}</x:v>
      </x:c>
    </x:row>
    <x:row r="16">
      <x:c r="A16" t="n">
        <x:v>15</x:v>
      </x:c>
      <x:c r="B16" s="138" t="str"/>
    </x:row>
    <x:row r="17">
      <x:c r="A17" t="n">
        <x:v>16</x:v>
      </x:c>
      <x:c r="B17" s="138" t="str">
        <x:v>Result insertion_sort_count(vector&lt;int&gt; a) {</x:v>
      </x:c>
    </x:row>
    <x:row r="18">
      <x:c r="A18" t="n">
        <x:v>17</x:v>
      </x:c>
      <x:c r="B18" s="138" t="str">
        <x:v>    unsigned long long movements = 0;</x:v>
      </x:c>
    </x:row>
    <x:row r="19">
      <x:c r="A19" t="n">
        <x:v>18</x:v>
      </x:c>
      <x:c r="B19" s="138" t="str">
        <x:v>    auto start = chrono::high_resolution_clock::now();</x:v>
      </x:c>
    </x:row>
    <x:row r="20">
      <x:c r="A20" t="n">
        <x:v>19</x:v>
      </x:c>
      <x:c r="B20" s="138" t="str">
        <x:v>    int n = (int)a.size();</x:v>
      </x:c>
    </x:row>
    <x:row r="21">
      <x:c r="A21" t="n">
        <x:v>20</x:v>
      </x:c>
      <x:c r="B21" s="138" t="str">
        <x:v>    for (int i = 1; i &lt; n; i++) {</x:v>
      </x:c>
    </x:row>
    <x:row r="22">
      <x:c r="A22" t="n">
        <x:v>21</x:v>
      </x:c>
      <x:c r="B22" s="138" t="str">
        <x:v>        int key = a[i];</x:v>
      </x:c>
    </x:row>
    <x:row r="23">
      <x:c r="A23" t="n">
        <x:v>22</x:v>
      </x:c>
      <x:c r="B23" s="138" t="str">
        <x:v>        int j = i - 1;</x:v>
      </x:c>
    </x:row>
    <x:row r="24">
      <x:c r="A24" t="n">
        <x:v>23</x:v>
      </x:c>
      <x:c r="B24" s="138" t="str">
        <x:v>        while (j &gt;= 0 &amp;&amp; a[j] &gt; key) {</x:v>
      </x:c>
    </x:row>
    <x:row r="25">
      <x:c r="A25" t="n">
        <x:v>24</x:v>
      </x:c>
      <x:c r="B25" s="138" t="str">
        <x:v>            a[j + 1] = a[j];</x:v>
      </x:c>
    </x:row>
    <x:row r="26">
      <x:c r="A26" t="n">
        <x:v>25</x:v>
      </x:c>
      <x:c r="B26" s="138" t="str">
        <x:v>            movements++;</x:v>
      </x:c>
    </x:row>
    <x:row r="27">
      <x:c r="A27" t="n">
        <x:v>26</x:v>
      </x:c>
      <x:c r="B27" s="138" t="str">
        <x:v>            j--;</x:v>
      </x:c>
    </x:row>
    <x:row r="28">
      <x:c r="A28" t="n">
        <x:v>27</x:v>
      </x:c>
      <x:c r="B28" s="138" t="str">
        <x:v>        }</x:v>
      </x:c>
    </x:row>
    <x:row r="29">
      <x:c r="A29" t="n">
        <x:v>28</x:v>
      </x:c>
      <x:c r="B29" s="138" t="str">
        <x:v>        a[j + 1] = key;</x:v>
      </x:c>
    </x:row>
    <x:row r="30">
      <x:c r="A30" t="n">
        <x:v>29</x:v>
      </x:c>
      <x:c r="B30" s="138" t="str">
        <x:v>        movements++;</x:v>
      </x:c>
    </x:row>
    <x:row r="31">
      <x:c r="A31" t="n">
        <x:v>30</x:v>
      </x:c>
      <x:c r="B31" s="138" t="str">
        <x:v>    }</x:v>
      </x:c>
    </x:row>
    <x:row r="32">
      <x:c r="A32" t="n">
        <x:v>31</x:v>
      </x:c>
      <x:c r="B32" s="138" t="str">
        <x:v>    auto end = chrono::high_resolution_clock::now();</x:v>
      </x:c>
    </x:row>
    <x:row r="33">
      <x:c r="A33" t="n">
        <x:v>32</x:v>
      </x:c>
      <x:c r="B33" s="138" t="str">
        <x:v>    chrono::duration&lt;double&gt; elapsed = end - start;</x:v>
      </x:c>
    </x:row>
    <x:row r="34">
      <x:c r="A34" t="n">
        <x:v>33</x:v>
      </x:c>
      <x:c r="B34" s="138" t="str">
        <x:v>    return {elapsed.count(), movements};</x:v>
      </x:c>
    </x:row>
    <x:row r="35">
      <x:c r="A35" t="n">
        <x:v>34</x:v>
      </x:c>
      <x:c r="B35" s="138" t="str">
        <x:v>}</x:v>
      </x:c>
    </x:row>
    <x:row r="36">
      <x:c r="A36" t="n">
        <x:v>35</x:v>
      </x:c>
      <x:c r="B36" s="138" t="str"/>
    </x:row>
    <x:row r="37">
      <x:c r="A37" t="n">
        <x:v>36</x:v>
      </x:c>
      <x:c r="B37" s="138" t="str">
        <x:v>void merge_sort_rec(vector&lt;int&gt;&amp; a, vector&lt;int&gt;&amp; temp, int l, int r, unsigned long long &amp;movements) {</x:v>
      </x:c>
    </x:row>
    <x:row r="38">
      <x:c r="A38" t="n">
        <x:v>37</x:v>
      </x:c>
      <x:c r="B38" s="138" t="str">
        <x:v>    if (l &gt;= r) return;</x:v>
      </x:c>
    </x:row>
    <x:row r="39">
      <x:c r="A39" t="n">
        <x:v>38</x:v>
      </x:c>
      <x:c r="B39" s="138" t="str">
        <x:v>    int m = l + (r - l) / 2;</x:v>
      </x:c>
    </x:row>
    <x:row r="40">
      <x:c r="A40" t="n">
        <x:v>39</x:v>
      </x:c>
      <x:c r="B40" s="138" t="str">
        <x:v>    merge_sort_rec(a, temp, l, m, movements);</x:v>
      </x:c>
    </x:row>
    <x:row r="41">
      <x:c r="A41" t="n">
        <x:v>40</x:v>
      </x:c>
      <x:c r="B41" s="138" t="str">
        <x:v>    merge_sort_rec(a, temp, m + 1, r, movements);</x:v>
      </x:c>
    </x:row>
    <x:row r="42">
      <x:c r="A42" t="n">
        <x:v>41</x:v>
      </x:c>
      <x:c r="B42" s="138" t="str">
        <x:v>    int i = l, j = m + 1, k = l;</x:v>
      </x:c>
    </x:row>
    <x:row r="43">
      <x:c r="A43" t="n">
        <x:v>42</x:v>
      </x:c>
      <x:c r="B43" s="138" t="str">
        <x:v>    while (i &lt;= m &amp;&amp; j &lt;= r) {</x:v>
      </x:c>
    </x:row>
    <x:row r="44">
      <x:c r="A44" t="n">
        <x:v>43</x:v>
      </x:c>
      <x:c r="B44" s="138" t="str">
        <x:v>        if (a[i] &lt;= a[j]) temp[k++] = a[i++];</x:v>
      </x:c>
    </x:row>
    <x:row r="45">
      <x:c r="A45" t="n">
        <x:v>44</x:v>
      </x:c>
      <x:c r="B45" s="138" t="str">
        <x:v>        else temp[k++] = a[j++];</x:v>
      </x:c>
    </x:row>
    <x:row r="46">
      <x:c r="A46" t="n">
        <x:v>45</x:v>
      </x:c>
      <x:c r="B46" s="138" t="str">
        <x:v>        movements++; // escrita no vetor auxiliar</x:v>
      </x:c>
    </x:row>
    <x:row r="47">
      <x:c r="A47" t="n">
        <x:v>46</x:v>
      </x:c>
      <x:c r="B47" s="138" t="str">
        <x:v>    }</x:v>
      </x:c>
    </x:row>
    <x:row r="48">
      <x:c r="A48" t="n">
        <x:v>47</x:v>
      </x:c>
      <x:c r="B48" s="138" t="str">
        <x:v>    while (i &lt;= m) { temp[k++] = a[i++]; movements++; }</x:v>
      </x:c>
    </x:row>
    <x:row r="49">
      <x:c r="A49" t="n">
        <x:v>48</x:v>
      </x:c>
      <x:c r="B49" s="138" t="str">
        <x:v>    while (j &lt;= r) { temp[k++] = a[j++]; movements++; }</x:v>
      </x:c>
    </x:row>
    <x:row r="50">
      <x:c r="A50" t="n">
        <x:v>49</x:v>
      </x:c>
      <x:c r="B50" s="138" t="str">
        <x:v>    for (int p = l; p &lt;= r; p++) {</x:v>
      </x:c>
    </x:row>
    <x:row r="51">
      <x:c r="A51" t="n">
        <x:v>50</x:v>
      </x:c>
      <x:c r="B51" s="138" t="str">
        <x:v>        a[p] = temp[p];</x:v>
      </x:c>
    </x:row>
    <x:row r="52">
      <x:c r="A52" t="n">
        <x:v>51</x:v>
      </x:c>
      <x:c r="B52" s="138" t="str">
        <x:v>        movements++; // escrita de volta no vetor principal</x:v>
      </x:c>
    </x:row>
    <x:row r="53">
      <x:c r="A53" t="n">
        <x:v>52</x:v>
      </x:c>
      <x:c r="B53" s="138" t="str">
        <x:v>    }</x:v>
      </x:c>
    </x:row>
    <x:row r="54">
      <x:c r="A54" t="n">
        <x:v>53</x:v>
      </x:c>
      <x:c r="B54" s="138" t="str">
        <x:v>}</x:v>
      </x:c>
    </x:row>
    <x:row r="55">
      <x:c r="A55" t="n">
        <x:v>54</x:v>
      </x:c>
      <x:c r="B55" s="138" t="str"/>
    </x:row>
    <x:row r="56">
      <x:c r="A56" t="n">
        <x:v>55</x:v>
      </x:c>
      <x:c r="B56" s="138" t="str">
        <x:v>Result merge_sort_count(vector&lt;int&gt; a) {</x:v>
      </x:c>
    </x:row>
    <x:row r="57">
      <x:c r="A57" t="n">
        <x:v>56</x:v>
      </x:c>
      <x:c r="B57" s="138" t="str">
        <x:v>    unsigned long long movements = 0;</x:v>
      </x:c>
    </x:row>
    <x:row r="58">
      <x:c r="A58" t="n">
        <x:v>57</x:v>
      </x:c>
      <x:c r="B58" s="138" t="str">
        <x:v>    vector&lt;int&gt; temp(a.size());</x:v>
      </x:c>
    </x:row>
    <x:row r="59">
      <x:c r="A59" t="n">
        <x:v>58</x:v>
      </x:c>
      <x:c r="B59" s="138" t="str">
        <x:v>    auto start = chrono::high_resolution_clock::now();</x:v>
      </x:c>
    </x:row>
    <x:row r="60">
      <x:c r="A60" t="n">
        <x:v>59</x:v>
      </x:c>
      <x:c r="B60" s="138" t="str">
        <x:v>    if (!a.empty()) merge_sort_rec(a, temp, 0, (int)a.size() - 1, movements);</x:v>
      </x:c>
    </x:row>
    <x:row r="61">
      <x:c r="A61" t="n">
        <x:v>60</x:v>
      </x:c>
      <x:c r="B61" s="138" t="str">
        <x:v>    auto end = chrono::high_resolution_clock::now();</x:v>
      </x:c>
    </x:row>
    <x:row r="62">
      <x:c r="A62" t="n">
        <x:v>61</x:v>
      </x:c>
      <x:c r="B62" s="138" t="str">
        <x:v>    chrono::duration&lt;double&gt; elapsed = end - start;</x:v>
      </x:c>
    </x:row>
    <x:row r="63">
      <x:c r="A63" t="n">
        <x:v>62</x:v>
      </x:c>
      <x:c r="B63" s="138" t="str">
        <x:v>    return {elapsed.count(), movements};</x:v>
      </x:c>
    </x:row>
    <x:row r="64">
      <x:c r="A64" t="n">
        <x:v>63</x:v>
      </x:c>
      <x:c r="B64" s="138" t="str">
        <x:v>}</x:v>
      </x:c>
    </x:row>
    <x:row r="65">
      <x:c r="A65" t="n">
        <x:v>64</x:v>
      </x:c>
      <x:c r="B65" s="138" t="str"/>
    </x:row>
    <x:row r="66">
      <x:c r="A66" t="n">
        <x:v>65</x:v>
      </x:c>
      <x:c r="B66" s="138" t="str">
        <x:v>int median_of_three_index(const vector&lt;int&gt;&amp; a, int l, int m, int r) {</x:v>
      </x:c>
    </x:row>
    <x:row r="67">
      <x:c r="A67" t="n">
        <x:v>66</x:v>
      </x:c>
      <x:c r="B67" s="138" t="str">
        <x:v>    int x = a[l], y = a[m], z = a[r];</x:v>
      </x:c>
    </x:row>
    <x:row r="68">
      <x:c r="A68" t="n">
        <x:v>67</x:v>
      </x:c>
      <x:c r="B68" s="138" t="str">
        <x:v>    if ((x &lt;= y &amp;&amp; y &lt;= z) || (z &lt;= y &amp;&amp; y &lt;= x)) return m;</x:v>
      </x:c>
    </x:row>
    <x:row r="69">
      <x:c r="A69" t="n">
        <x:v>68</x:v>
      </x:c>
      <x:c r="B69" s="138" t="str">
        <x:v>    if ((y &lt;= x &amp;&amp; x &lt;= z) || (z &lt;= x &amp;&amp; x &lt;= y)) return l;</x:v>
      </x:c>
    </x:row>
    <x:row r="70">
      <x:c r="A70" t="n">
        <x:v>69</x:v>
      </x:c>
      <x:c r="B70" s="138" t="str">
        <x:v>    return r;</x:v>
      </x:c>
    </x:row>
    <x:row r="71">
      <x:c r="A71" t="n">
        <x:v>70</x:v>
      </x:c>
      <x:c r="B71" s="138" t="str">
        <x:v>}</x:v>
      </x:c>
    </x:row>
    <x:row r="72">
      <x:c r="A72" t="n">
        <x:v>71</x:v>
      </x:c>
      <x:c r="B72" s="138" t="str"/>
    </x:row>
    <x:row r="73">
      <x:c r="A73" t="n">
        <x:v>72</x:v>
      </x:c>
      <x:c r="B73" s="138" t="str">
        <x:v>int partition_lomuto_median(vector&lt;int&gt;&amp; a, int low, int high, unsigned long long &amp;swaps) {</x:v>
      </x:c>
    </x:row>
    <x:row r="74">
      <x:c r="A74" t="n">
        <x:v>73</x:v>
      </x:c>
      <x:c r="B74" s="138" t="str">
        <x:v>    int mid = low + (high - low) / 2;</x:v>
      </x:c>
    </x:row>
    <x:row r="75">
      <x:c r="A75" t="n">
        <x:v>74</x:v>
      </x:c>
      <x:c r="B75" s="138" t="str">
        <x:v>    int pivotIndex = median_of_three_index(a, low, mid, high);</x:v>
      </x:c>
    </x:row>
    <x:row r="76">
      <x:c r="A76" t="n">
        <x:v>75</x:v>
      </x:c>
      <x:c r="B76" s="138" t="str">
        <x:v>    counted_swap(a, pivotIndex, high, swaps);</x:v>
      </x:c>
    </x:row>
    <x:row r="77">
      <x:c r="A77" t="n">
        <x:v>76</x:v>
      </x:c>
      <x:c r="B77" s="138" t="str">
        <x:v>    int pivot = a[high];</x:v>
      </x:c>
    </x:row>
    <x:row r="78">
      <x:c r="A78" t="n">
        <x:v>77</x:v>
      </x:c>
      <x:c r="B78" s="138" t="str">
        <x:v>    int i = low - 1;</x:v>
      </x:c>
    </x:row>
    <x:row r="79">
      <x:c r="A79" t="n">
        <x:v>78</x:v>
      </x:c>
      <x:c r="B79" s="138" t="str">
        <x:v>    for (int j = low; j &lt; high; j++) {</x:v>
      </x:c>
    </x:row>
    <x:row r="80">
      <x:c r="A80" t="n">
        <x:v>79</x:v>
      </x:c>
      <x:c r="B80" s="138" t="str">
        <x:v>        if (a[j] &lt;= pivot) {</x:v>
      </x:c>
    </x:row>
    <x:row r="81">
      <x:c r="A81" t="n">
        <x:v>80</x:v>
      </x:c>
      <x:c r="B81" s="138" t="str">
        <x:v>            i++;</x:v>
      </x:c>
    </x:row>
    <x:row r="82">
      <x:c r="A82" t="n">
        <x:v>81</x:v>
      </x:c>
      <x:c r="B82" s="138" t="str">
        <x:v>            counted_swap(a, i, j, swaps);</x:v>
      </x:c>
    </x:row>
    <x:row r="83">
      <x:c r="A83" t="n">
        <x:v>82</x:v>
      </x:c>
      <x:c r="B83" s="138" t="str">
        <x:v>        }</x:v>
      </x:c>
    </x:row>
    <x:row r="84">
      <x:c r="A84" t="n">
        <x:v>83</x:v>
      </x:c>
      <x:c r="B84" s="138" t="str">
        <x:v>    }</x:v>
      </x:c>
    </x:row>
    <x:row r="85">
      <x:c r="A85" t="n">
        <x:v>84</x:v>
      </x:c>
      <x:c r="B85" s="138" t="str">
        <x:v>    counted_swap(a, i + 1, high, swaps);</x:v>
      </x:c>
    </x:row>
    <x:row r="86">
      <x:c r="A86" t="n">
        <x:v>85</x:v>
      </x:c>
      <x:c r="B86" s="138" t="str">
        <x:v>    return i + 1;</x:v>
      </x:c>
    </x:row>
    <x:row r="87">
      <x:c r="A87" t="n">
        <x:v>86</x:v>
      </x:c>
      <x:c r="B87" s="138" t="str">
        <x:v>}</x:v>
      </x:c>
    </x:row>
    <x:row r="88">
      <x:c r="A88" t="n">
        <x:v>87</x:v>
      </x:c>
      <x:c r="B88" s="138" t="str"/>
    </x:row>
    <x:row r="89">
      <x:c r="A89" t="n">
        <x:v>88</x:v>
      </x:c>
      <x:c r="B89" s="138" t="str">
        <x:v>Result quick_sort_count(vector&lt;int&gt; a) {</x:v>
      </x:c>
    </x:row>
    <x:row r="90">
      <x:c r="A90" t="n">
        <x:v>89</x:v>
      </x:c>
      <x:c r="B90" s="138" t="str">
        <x:v>    unsigned long long swaps = 0;</x:v>
      </x:c>
    </x:row>
    <x:row r="91">
      <x:c r="A91" t="n">
        <x:v>90</x:v>
      </x:c>
      <x:c r="B91" s="138" t="str">
        <x:v>    auto start = chrono::high_resolution_clock::now();</x:v>
      </x:c>
    </x:row>
    <x:row r="92">
      <x:c r="A92" t="n">
        <x:v>91</x:v>
      </x:c>
      <x:c r="B92" s="138" t="str">
        <x:v>    if (a.size() &gt; 1) {</x:v>
      </x:c>
    </x:row>
    <x:row r="93">
      <x:c r="A93" t="n">
        <x:v>92</x:v>
      </x:c>
      <x:c r="B93" s="138" t="str">
        <x:v>        vector&lt;pair&lt;int,int&gt;&gt; st;</x:v>
      </x:c>
    </x:row>
    <x:row r="94">
      <x:c r="A94" t="n">
        <x:v>93</x:v>
      </x:c>
      <x:c r="B94" s="138" t="str">
        <x:v>        st.reserve(64);</x:v>
      </x:c>
    </x:row>
    <x:row r="95">
      <x:c r="A95" t="n">
        <x:v>94</x:v>
      </x:c>
      <x:c r="B95" s="138" t="str">
        <x:v>        st.push_back({0, (int)a.size() - 1});</x:v>
      </x:c>
    </x:row>
    <x:row r="96">
      <x:c r="A96" t="n">
        <x:v>95</x:v>
      </x:c>
      <x:c r="B96" s="138" t="str">
        <x:v>        while (!st.empty()) {</x:v>
      </x:c>
    </x:row>
    <x:row r="97">
      <x:c r="A97" t="n">
        <x:v>96</x:v>
      </x:c>
      <x:c r="B97" s="138" t="str">
        <x:v>            auto [low, high] = st.back();</x:v>
      </x:c>
    </x:row>
    <x:row r="98">
      <x:c r="A98" t="n">
        <x:v>97</x:v>
      </x:c>
      <x:c r="B98" s="138" t="str">
        <x:v>            st.pop_back();</x:v>
      </x:c>
    </x:row>
    <x:row r="99">
      <x:c r="A99" t="n">
        <x:v>98</x:v>
      </x:c>
      <x:c r="B99" s="138" t="str">
        <x:v>            while (low &lt; high) {</x:v>
      </x:c>
    </x:row>
    <x:row r="100">
      <x:c r="A100" t="n">
        <x:v>99</x:v>
      </x:c>
      <x:c r="B100" s="138" t="str">
        <x:v>                int p = partition_lomuto_median(a, low, high, swaps);</x:v>
      </x:c>
    </x:row>
    <x:row r="101">
      <x:c r="A101" t="n">
        <x:v>100</x:v>
      </x:c>
      <x:c r="B101" s="138" t="str">
        <x:v>                // Processa a menor partição primeiro para reduzir uso de pilha.</x:v>
      </x:c>
    </x:row>
    <x:row r="102">
      <x:c r="A102" t="n">
        <x:v>101</x:v>
      </x:c>
      <x:c r="B102" s="138" t="str">
        <x:v>                if (p - low &lt; high - p) {</x:v>
      </x:c>
    </x:row>
    <x:row r="103">
      <x:c r="A103" t="n">
        <x:v>102</x:v>
      </x:c>
      <x:c r="B103" s="138" t="str">
        <x:v>                    if (p + 1 &lt; high) st.push_back({p + 1, high});</x:v>
      </x:c>
    </x:row>
    <x:row r="104">
      <x:c r="A104" t="n">
        <x:v>103</x:v>
      </x:c>
      <x:c r="B104" s="138" t="str">
        <x:v>                    high = p - 1;</x:v>
      </x:c>
    </x:row>
    <x:row r="105">
      <x:c r="A105" t="n">
        <x:v>104</x:v>
      </x:c>
      <x:c r="B105" s="138" t="str">
        <x:v>                } else {</x:v>
      </x:c>
    </x:row>
    <x:row r="106">
      <x:c r="A106" t="n">
        <x:v>105</x:v>
      </x:c>
      <x:c r="B106" s="138" t="str">
        <x:v>                    if (low &lt; p - 1) st.push_back({low, p - 1});</x:v>
      </x:c>
    </x:row>
    <x:row r="107">
      <x:c r="A107" t="n">
        <x:v>106</x:v>
      </x:c>
      <x:c r="B107" s="138" t="str">
        <x:v>                    low = p + 1;</x:v>
      </x:c>
    </x:row>
    <x:row r="108">
      <x:c r="A108" t="n">
        <x:v>107</x:v>
      </x:c>
      <x:c r="B108" s="138" t="str">
        <x:v>                }</x:v>
      </x:c>
    </x:row>
    <x:row r="109">
      <x:c r="A109" t="n">
        <x:v>108</x:v>
      </x:c>
      <x:c r="B109" s="138" t="str">
        <x:v>            }</x:v>
      </x:c>
    </x:row>
    <x:row r="110">
      <x:c r="A110" t="n">
        <x:v>109</x:v>
      </x:c>
      <x:c r="B110" s="138" t="str">
        <x:v>        }</x:v>
      </x:c>
    </x:row>
    <x:row r="111">
      <x:c r="A111" t="n">
        <x:v>110</x:v>
      </x:c>
      <x:c r="B111" s="138" t="str">
        <x:v>    }</x:v>
      </x:c>
    </x:row>
    <x:row r="112">
      <x:c r="A112" t="n">
        <x:v>111</x:v>
      </x:c>
      <x:c r="B112" s="138" t="str">
        <x:v>    auto end = chrono::high_resolution_clock::now();</x:v>
      </x:c>
    </x:row>
    <x:row r="113">
      <x:c r="A113" t="n">
        <x:v>112</x:v>
      </x:c>
      <x:c r="B113" s="138" t="str">
        <x:v>    chrono::duration&lt;double&gt; elapsed = end - start;</x:v>
      </x:c>
    </x:row>
    <x:row r="114">
      <x:c r="A114" t="n">
        <x:v>113</x:v>
      </x:c>
      <x:c r="B114" s="138" t="str">
        <x:v>    return {elapsed.count(), swaps};</x:v>
      </x:c>
    </x:row>
    <x:row r="115">
      <x:c r="A115" t="n">
        <x:v>114</x:v>
      </x:c>
      <x:c r="B115" s="138" t="str">
        <x:v>}</x:v>
      </x:c>
    </x:row>
    <x:row r="116">
      <x:c r="A116" t="n">
        <x:v>115</x:v>
      </x:c>
      <x:c r="B116" s="138" t="str"/>
    </x:row>
    <x:row r="117">
      <x:c r="A117" t="n">
        <x:v>116</x:v>
      </x:c>
      <x:c r="B117" s="138" t="str">
        <x:v>int main() {</x:v>
      </x:c>
    </x:row>
    <x:row r="118">
      <x:c r="A118" t="n">
        <x:v>117</x:v>
      </x:c>
      <x:c r="B118" s="138" t="str">
        <x:v>    vector&lt;int&gt; sizes = {1000, 10000, 100000};</x:v>
      </x:c>
    </x:row>
    <x:row r="119">
      <x:c r="A119" t="n">
        <x:v>118</x:v>
      </x:c>
      <x:c r="B119" s="138" t="str">
        <x:v>    mt19937 rng(2026);</x:v>
      </x:c>
    </x:row>
    <x:row r="120">
      <x:c r="A120" t="n">
        <x:v>119</x:v>
      </x:c>
      <x:c r="B120" s="138" t="str">
        <x:v>    uniform_int_distribution&lt;int&gt; dist(0, 1000000000);</x:v>
      </x:c>
    </x:row>
    <x:row r="121">
      <x:c r="A121" t="n">
        <x:v>120</x:v>
      </x:c>
      <x:c r="B121" s="138" t="str"/>
    </x:row>
    <x:row r="122">
      <x:c r="A122" t="n">
        <x:v>121</x:v>
      </x:c>
      <x:c r="B122" s="138" t="str">
        <x:v>    cout &lt;&lt; fixed &lt;&lt; setprecision(6);</x:v>
      </x:c>
    </x:row>
    <x:row r="123">
      <x:c r="A123" t="n">
        <x:v>122</x:v>
      </x:c>
      <x:c r="B123" s="138" t="str">
        <x:v>    cout &lt;&lt; "algoritmo,tamanho,execucao,tempo_segundos,operacoes\n";</x:v>
      </x:c>
    </x:row>
    <x:row r="124">
      <x:c r="A124" t="n">
        <x:v>123</x:v>
      </x:c>
      <x:c r="B124" s="138" t="str"/>
    </x:row>
    <x:row r="125">
      <x:c r="A125" t="n">
        <x:v>124</x:v>
      </x:c>
      <x:c r="B125" s="138" t="str">
        <x:v>    for (int n : sizes) {</x:v>
      </x:c>
    </x:row>
    <x:row r="126">
      <x:c r="A126" t="n">
        <x:v>125</x:v>
      </x:c>
      <x:c r="B126" s="138" t="str">
        <x:v>        vector&lt;int&gt; original(n);</x:v>
      </x:c>
    </x:row>
    <x:row r="127">
      <x:c r="A127" t="n">
        <x:v>126</x:v>
      </x:c>
      <x:c r="B127" s="138" t="str">
        <x:v>        for (int i = 0; i &lt; n; i++) original[i] = dist(rng);</x:v>
      </x:c>
    </x:row>
    <x:row r="128">
      <x:c r="A128" t="n">
        <x:v>127</x:v>
      </x:c>
      <x:c r="B128" s="138" t="str"/>
    </x:row>
    <x:row r="129">
      <x:c r="A129" t="n">
        <x:v>128</x:v>
      </x:c>
      <x:c r="B129" s="138" t="str">
        <x:v>        for (int rep = 1; rep &lt;= 3; rep++) {</x:v>
      </x:c>
    </x:row>
    <x:row r="130">
      <x:c r="A130" t="n">
        <x:v>129</x:v>
      </x:c>
      <x:c r="B130" s="138" t="str">
        <x:v>            Result r = insertion_sort_count(original);</x:v>
      </x:c>
    </x:row>
    <x:row r="131">
      <x:c r="A131" t="n">
        <x:v>130</x:v>
      </x:c>
      <x:c r="B131" s="138" t="str">
        <x:v>            cout &lt;&lt; "Insertion Sort," &lt;&lt; n &lt;&lt; "," &lt;&lt; rep &lt;&lt; "," &lt;&lt; r.seconds &lt;&lt; "," &lt;&lt; r.operations &lt;&lt; "\n";</x:v>
      </x:c>
    </x:row>
    <x:row r="132">
      <x:c r="A132" t="n">
        <x:v>131</x:v>
      </x:c>
      <x:c r="B132" s="138" t="str">
        <x:v>        }</x:v>
      </x:c>
    </x:row>
    <x:row r="133">
      <x:c r="A133" t="n">
        <x:v>132</x:v>
      </x:c>
      <x:c r="B133" s="138" t="str">
        <x:v>        for (int rep = 1; rep &lt;= 3; rep++) {</x:v>
      </x:c>
    </x:row>
    <x:row r="134">
      <x:c r="A134" t="n">
        <x:v>133</x:v>
      </x:c>
      <x:c r="B134" s="138" t="str">
        <x:v>            Result r = merge_sort_count(original);</x:v>
      </x:c>
    </x:row>
    <x:row r="135">
      <x:c r="A135" t="n">
        <x:v>134</x:v>
      </x:c>
      <x:c r="B135" s="138" t="str">
        <x:v>            cout &lt;&lt; "Merge Sort," &lt;&lt; n &lt;&lt; "," &lt;&lt; rep &lt;&lt; "," &lt;&lt; r.seconds &lt;&lt; "," &lt;&lt; r.operations &lt;&lt; "\n";</x:v>
      </x:c>
    </x:row>
    <x:row r="136">
      <x:c r="A136" t="n">
        <x:v>135</x:v>
      </x:c>
      <x:c r="B136" s="138" t="str">
        <x:v>        }</x:v>
      </x:c>
    </x:row>
    <x:row r="137">
      <x:c r="A137" t="n">
        <x:v>136</x:v>
      </x:c>
      <x:c r="B137" s="138" t="str">
        <x:v>        for (int rep = 1; rep &lt;= 3; rep++) {</x:v>
      </x:c>
    </x:row>
    <x:row r="138">
      <x:c r="A138" t="n">
        <x:v>137</x:v>
      </x:c>
      <x:c r="B138" s="138" t="str">
        <x:v>            Result r = quick_sort_count(original);</x:v>
      </x:c>
    </x:row>
    <x:row r="139">
      <x:c r="A139" t="n">
        <x:v>138</x:v>
      </x:c>
      <x:c r="B139" s="138" t="str">
        <x:v>            cout &lt;&lt; "Quick Sort," &lt;&lt; n &lt;&lt; "," &lt;&lt; rep &lt;&lt; "," &lt;&lt; r.seconds &lt;&lt; "," &lt;&lt; r.operations &lt;&lt; "\n";</x:v>
      </x:c>
    </x:row>
    <x:row r="140">
      <x:c r="A140" t="n">
        <x:v>139</x:v>
      </x:c>
      <x:c r="B140" s="138" t="str">
        <x:v>        }</x:v>
      </x:c>
    </x:row>
    <x:row r="141">
      <x:c r="A141" t="n">
        <x:v>140</x:v>
      </x:c>
      <x:c r="B141" s="138" t="str">
        <x:v>    }</x:v>
      </x:c>
    </x:row>
    <x:row r="142">
      <x:c r="A142" t="n">
        <x:v>141</x:v>
      </x:c>
      <x:c r="B142" s="138" t="str">
        <x:v>    return 0;</x:v>
      </x:c>
    </x:row>
    <x:row r="143">
      <x:c r="A143" t="n">
        <x:v>142</x:v>
      </x:c>
      <x:c r="B143" s="138" t="str">
        <x:v>}</x:v>
      </x:c>
    </x:row>
  </x:sheetData>
  <x:pageMargins left="0.7" right="0.7" top="0.75" bottom="0.75" header="0.3" footer="0.3"/>
</x:worksheet>
</file>